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5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Price History" sheetId="2" state="visible" r:id="rId4"/>
    <sheet name="Option Chain" sheetId="3" state="visible" r:id="rId5"/>
    <sheet name="Implied Vols" sheetId="4" state="visible" r:id="rId6"/>
    <sheet name="Volatility Surface" sheetId="5" state="visible" r:id="rId7"/>
    <sheet name="Pricing Grid" sheetId="6" state="visible" r:id="rId8"/>
    <sheet name="Greeks Hist vs IV" sheetId="7" state="visible" r:id="rId9"/>
    <sheet name="Portfolio Composition" sheetId="8" state="visible" r:id="rId10"/>
    <sheet name="Hedge Summary" sheetId="9" state="visible" r:id="rId11"/>
    <sheet name="PnL Scenarios" sheetId="10" state="visible" r:id="rId12"/>
    <sheet name="VaR Summary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<sst xmlns="http://schemas.openxmlformats.org/spreadsheetml/2006/main" count="654" uniqueCount="199">
  <si>
    <t xml:space="preserve">SunPharma Derivatives Project — Dashboard</t>
  </si>
  <si>
    <t xml:space="preserve">Ticker: SUNPHARMA.NS  |  Valuation date: 2026-09-01  |  Generated: 2026-09-04T16:31:15 UTC</t>
  </si>
  <si>
    <t xml:space="preserve">Key Market Inputs</t>
  </si>
  <si>
    <t xml:space="preserve">Spot Price</t>
  </si>
  <si>
    <t xml:space="preserve">Risk-Free Rate</t>
  </si>
  <si>
    <t xml:space="preserve">Historical Volatility (Annualized)</t>
  </si>
  <si>
    <t xml:space="preserve">Daily Mean Return</t>
  </si>
  <si>
    <t xml:space="preserve">Daily Std Dev</t>
  </si>
  <si>
    <t xml:space="preserve">Skewness</t>
  </si>
  <si>
    <t xml:space="preserve">Kurtosis</t>
  </si>
  <si>
    <t xml:space="preserve">Observations</t>
  </si>
  <si>
    <t xml:space="preserve">Spot Source</t>
  </si>
  <si>
    <t xml:space="preserve">Put-call parity average across 6 near-ATM strikes, Sep-29-2026 expiry, NSE option chain</t>
  </si>
  <si>
    <t xml:space="preserve">Spot Note</t>
  </si>
  <si>
    <t xml:space="preserve">Yahoo Finance's last close (1984.8) was stale relative to the option chain snapshot; using the parity-implied spot instead keeps pricing/Greeks/VaR internally consistent.</t>
  </si>
  <si>
    <t xml:space="preserve">Strikes Used for Analysis</t>
  </si>
  <si>
    <t xml:space="preserve">Strike 1 (-5%)</t>
  </si>
  <si>
    <t xml:space="preserve">Strike 2 (-2%)</t>
  </si>
  <si>
    <t xml:space="preserve">Strike 3 (ATM)</t>
  </si>
  <si>
    <t xml:space="preserve">Strike 4 (+2%)</t>
  </si>
  <si>
    <t xml:space="preserve">Strike 5 (+5%)</t>
  </si>
  <si>
    <t xml:space="preserve">Maturities (days)</t>
  </si>
  <si>
    <t xml:space="preserve">30, 60, 90</t>
  </si>
  <si>
    <t xml:space="preserve">Portfolio &amp; Risk Summary</t>
  </si>
  <si>
    <t xml:space="preserve">Unhedged Portfolio Delta</t>
  </si>
  <si>
    <t xml:space="preserve">Hedged Portfolio Delta</t>
  </si>
  <si>
    <t xml:space="preserve">Unhedged Portfolio Gamma</t>
  </si>
  <si>
    <t xml:space="preserve">Hedged Portfolio Gamma</t>
  </si>
  <si>
    <t xml:space="preserve">Total Portfolio Premium (Rs)</t>
  </si>
  <si>
    <t xml:space="preserve">95% Parametric VaR (Rs)</t>
  </si>
  <si>
    <t xml:space="preserve">99% Parametric VaR (Rs)</t>
  </si>
  <si>
    <t xml:space="preserve">95% Historical VaR (Rs)</t>
  </si>
  <si>
    <t xml:space="preserve">99% Historical VaR (Rs)</t>
  </si>
  <si>
    <t xml:space="preserve">Average Implied Volatility</t>
  </si>
  <si>
    <t xml:space="preserve">Historical Prices &amp; Return Statistics</t>
  </si>
  <si>
    <t xml:space="preserve">3-month daily close series used to estimate historical volatility, skewness, and kurtosis</t>
  </si>
  <si>
    <t xml:space="preserve">Summary Statistics</t>
  </si>
  <si>
    <t xml:space="preserve">Metric</t>
  </si>
  <si>
    <t xml:space="preserve">Value</t>
  </si>
  <si>
    <t xml:space="preserve">0.0015335050126771964</t>
  </si>
  <si>
    <t xml:space="preserve">0.00906618372200807</t>
  </si>
  <si>
    <t xml:space="preserve">Annualized Volatility</t>
  </si>
  <si>
    <t xml:space="preserve">0.1439212048131318</t>
  </si>
  <si>
    <t xml:space="preserve">0.5666146504191294</t>
  </si>
  <si>
    <t xml:space="preserve">5.363349899053016</t>
  </si>
  <si>
    <t xml:space="preserve">65</t>
  </si>
  <si>
    <t xml:space="preserve">1984.8</t>
  </si>
  <si>
    <t xml:space="preserve">As-of Date</t>
  </si>
  <si>
    <t xml:space="preserve">2026-09-01</t>
  </si>
  <si>
    <t xml:space="preserve">Daily Price &amp; Return Series</t>
  </si>
  <si>
    <t xml:space="preserve">Date</t>
  </si>
  <si>
    <t xml:space="preserve">Close</t>
  </si>
  <si>
    <t xml:space="preserve">Price</t>
  </si>
  <si>
    <t xml:space="preserve">Log_Returns</t>
  </si>
  <si>
    <t xml:space="preserve">2026-06-02</t>
  </si>
  <si>
    <t xml:space="preserve">2026-06-03</t>
  </si>
  <si>
    <t xml:space="preserve">2026-06-04</t>
  </si>
  <si>
    <t xml:space="preserve">2026-06-05</t>
  </si>
  <si>
    <t xml:space="preserve">2026-06-08</t>
  </si>
  <si>
    <t xml:space="preserve">2026-06-09</t>
  </si>
  <si>
    <t xml:space="preserve">2026-06-10</t>
  </si>
  <si>
    <t xml:space="preserve">2026-06-11</t>
  </si>
  <si>
    <t xml:space="preserve">2026-06-12</t>
  </si>
  <si>
    <t xml:space="preserve">2026-06-15</t>
  </si>
  <si>
    <t xml:space="preserve">2026-06-16</t>
  </si>
  <si>
    <t xml:space="preserve">2026-06-17</t>
  </si>
  <si>
    <t xml:space="preserve">2026-06-18</t>
  </si>
  <si>
    <t xml:space="preserve">2026-06-19</t>
  </si>
  <si>
    <t xml:space="preserve">2026-06-22</t>
  </si>
  <si>
    <t xml:space="preserve">2026-06-23</t>
  </si>
  <si>
    <t xml:space="preserve">2026-06-24</t>
  </si>
  <si>
    <t xml:space="preserve">2026-06-25</t>
  </si>
  <si>
    <t xml:space="preserve">2026-06-29</t>
  </si>
  <si>
    <t xml:space="preserve">2026-06-30</t>
  </si>
  <si>
    <t xml:space="preserve">2026-07-01</t>
  </si>
  <si>
    <t xml:space="preserve">2026-07-02</t>
  </si>
  <si>
    <t xml:space="preserve">2026-07-03</t>
  </si>
  <si>
    <t xml:space="preserve">2026-07-06</t>
  </si>
  <si>
    <t xml:space="preserve">2026-07-07</t>
  </si>
  <si>
    <t xml:space="preserve">2026-07-08</t>
  </si>
  <si>
    <t xml:space="preserve">2026-07-09</t>
  </si>
  <si>
    <t xml:space="preserve">2026-07-10</t>
  </si>
  <si>
    <t xml:space="preserve">2026-07-13</t>
  </si>
  <si>
    <t xml:space="preserve">2026-07-14</t>
  </si>
  <si>
    <t xml:space="preserve">2026-07-15</t>
  </si>
  <si>
    <t xml:space="preserve">2026-07-16</t>
  </si>
  <si>
    <t xml:space="preserve">2026-07-17</t>
  </si>
  <si>
    <t xml:space="preserve">2026-07-20</t>
  </si>
  <si>
    <t xml:space="preserve">2026-07-21</t>
  </si>
  <si>
    <t xml:space="preserve">2026-07-22</t>
  </si>
  <si>
    <t xml:space="preserve">2026-07-23</t>
  </si>
  <si>
    <t xml:space="preserve">2026-07-24</t>
  </si>
  <si>
    <t xml:space="preserve">2026-07-27</t>
  </si>
  <si>
    <t xml:space="preserve">2026-07-28</t>
  </si>
  <si>
    <t xml:space="preserve">2026-07-29</t>
  </si>
  <si>
    <t xml:space="preserve">2026-07-30</t>
  </si>
  <si>
    <t xml:space="preserve">2026-07-31</t>
  </si>
  <si>
    <t xml:space="preserve">2026-08-03</t>
  </si>
  <si>
    <t xml:space="preserve">2026-08-04</t>
  </si>
  <si>
    <t xml:space="preserve">2026-08-05</t>
  </si>
  <si>
    <t xml:space="preserve">2026-08-06</t>
  </si>
  <si>
    <t xml:space="preserve">2026-08-07</t>
  </si>
  <si>
    <t xml:space="preserve">2026-08-10</t>
  </si>
  <si>
    <t xml:space="preserve">2026-08-11</t>
  </si>
  <si>
    <t xml:space="preserve">2026-08-12</t>
  </si>
  <si>
    <t xml:space="preserve">2026-08-13</t>
  </si>
  <si>
    <t xml:space="preserve">2026-08-14</t>
  </si>
  <si>
    <t xml:space="preserve">2026-08-17</t>
  </si>
  <si>
    <t xml:space="preserve">2026-08-18</t>
  </si>
  <si>
    <t xml:space="preserve">2026-08-19</t>
  </si>
  <si>
    <t xml:space="preserve">2026-08-20</t>
  </si>
  <si>
    <t xml:space="preserve">2026-08-21</t>
  </si>
  <si>
    <t xml:space="preserve">2026-08-24</t>
  </si>
  <si>
    <t xml:space="preserve">2026-08-25</t>
  </si>
  <si>
    <t xml:space="preserve">2026-08-26</t>
  </si>
  <si>
    <t xml:space="preserve">2026-08-27</t>
  </si>
  <si>
    <t xml:space="preserve">2026-08-28</t>
  </si>
  <si>
    <t xml:space="preserve">2026-08-31</t>
  </si>
  <si>
    <t xml:space="preserve">SunPharma NSE Option Chain (Cleaned)</t>
  </si>
  <si>
    <t xml:space="preserve">Parsed from the exchange's raw CALLS/STRIKE/PUTS export into one row per contract</t>
  </si>
  <si>
    <t xml:space="preserve">Type</t>
  </si>
  <si>
    <t xml:space="preserve">Strike</t>
  </si>
  <si>
    <t xml:space="preserve">LTP</t>
  </si>
  <si>
    <t xml:space="preserve">Volume</t>
  </si>
  <si>
    <t xml:space="preserve">Expiry</t>
  </si>
  <si>
    <t xml:space="preserve">Call</t>
  </si>
  <si>
    <t xml:space="preserve">2026-09-29</t>
  </si>
  <si>
    <t xml:space="preserve">Put</t>
  </si>
  <si>
    <t xml:space="preserve">2026-10-27</t>
  </si>
  <si>
    <t xml:space="preserve">Implied Volatility Extraction</t>
  </si>
  <si>
    <t xml:space="preserve">Solved via Brent's method from each contract's real LTP against the corrected spot</t>
  </si>
  <si>
    <t xml:space="preserve">T</t>
  </si>
  <si>
    <t xml:space="preserve">Days_to_Expiry</t>
  </si>
  <si>
    <t xml:space="preserve">Implied_Vol</t>
  </si>
  <si>
    <t xml:space="preserve">SunPharma Implied Volatility Surface</t>
  </si>
  <si>
    <t xml:space="preserve">Cubic interpolation across strike and days-to-expiry; red markers are real market data points</t>
  </si>
  <si>
    <t xml:space="preserve">Black-Scholes Pricing Grid</t>
  </si>
  <si>
    <t xml:space="preserve">Strikes x maturities, historical volatility. Intrinsic/time value and moneyness per contract</t>
  </si>
  <si>
    <t xml:space="preserve">Maturity_Days</t>
  </si>
  <si>
    <t xml:space="preserve">Intrinsic_Value</t>
  </si>
  <si>
    <t xml:space="preserve">Time_Value</t>
  </si>
  <si>
    <t xml:space="preserve">Moneyness</t>
  </si>
  <si>
    <t xml:space="preserve">ITM</t>
  </si>
  <si>
    <t xml:space="preserve">OTM</t>
  </si>
  <si>
    <t xml:space="preserve">ATM</t>
  </si>
  <si>
    <t xml:space="preserve">Put-Call Parity Check  (Call - Put = S - K*e^-rT)</t>
  </si>
  <si>
    <t xml:space="preserve">Call Price</t>
  </si>
  <si>
    <t xml:space="preserve">Put Price</t>
  </si>
  <si>
    <t xml:space="preserve">C - P</t>
  </si>
  <si>
    <t xml:space="preserve">S - K*e^-rT</t>
  </si>
  <si>
    <t xml:space="preserve">Diff</t>
  </si>
  <si>
    <t xml:space="preserve">Greeks: Historical Volatility vs Implied Volatility</t>
  </si>
  <si>
    <t xml:space="preserve">Same strikes/maturities, priced under both volatility assumptions (filter by Volatility_Type)</t>
  </si>
  <si>
    <t xml:space="preserve">Volatility_Type</t>
  </si>
  <si>
    <t xml:space="preserve">Volatility_Used</t>
  </si>
  <si>
    <t xml:space="preserve">delta</t>
  </si>
  <si>
    <t xml:space="preserve">gamma</t>
  </si>
  <si>
    <t xml:space="preserve">vega</t>
  </si>
  <si>
    <t xml:space="preserve">theta</t>
  </si>
  <si>
    <t xml:space="preserve">rho</t>
  </si>
  <si>
    <t xml:space="preserve">Historical</t>
  </si>
  <si>
    <t xml:space="preserve">Implied</t>
  </si>
  <si>
    <t xml:space="preserve">Six-Leg Option Portfolio</t>
  </si>
  <si>
    <t xml:space="preserve">Position-level Greeks and premium for each leg</t>
  </si>
  <si>
    <t xml:space="preserve">Position</t>
  </si>
  <si>
    <t xml:space="preserve">Premium</t>
  </si>
  <si>
    <t xml:space="preserve">Pos_delta</t>
  </si>
  <si>
    <t xml:space="preserve">Pos_gamma</t>
  </si>
  <si>
    <t xml:space="preserve">Pos_vega</t>
  </si>
  <si>
    <t xml:space="preserve">Pos_theta</t>
  </si>
  <si>
    <t xml:space="preserve">Pos_rho</t>
  </si>
  <si>
    <t xml:space="preserve">TOTAL</t>
  </si>
  <si>
    <t xml:space="preserve">Portfolio Greeks — Before vs After Hedging</t>
  </si>
  <si>
    <t xml:space="preserve">Delta-hedged with stock, gamma-hedged with a 90-day ATM call, then delta re-adjusted</t>
  </si>
  <si>
    <t xml:space="preserve">Greek</t>
  </si>
  <si>
    <t xml:space="preserve">Before_Hedge</t>
  </si>
  <si>
    <t xml:space="preserve">After_Hedge</t>
  </si>
  <si>
    <t xml:space="preserve">Change</t>
  </si>
  <si>
    <t xml:space="preserve">Delta</t>
  </si>
  <si>
    <t xml:space="preserve">Gamma</t>
  </si>
  <si>
    <t xml:space="preserve">Vega</t>
  </si>
  <si>
    <t xml:space="preserve">Theta</t>
  </si>
  <si>
    <t xml:space="preserve">Rho</t>
  </si>
  <si>
    <t xml:space="preserve">PnL Simulation Across Spot Price Scenarios</t>
  </si>
  <si>
    <t xml:space="preserve">Full repricing of every leg at each hypothetical spot move; hedge effectiveness computed live</t>
  </si>
  <si>
    <t xml:space="preserve">Price_Change_%</t>
  </si>
  <si>
    <t xml:space="preserve">New_Price</t>
  </si>
  <si>
    <t xml:space="preserve">Unhedged_PnL</t>
  </si>
  <si>
    <t xml:space="preserve">Hedged_PnL</t>
  </si>
  <si>
    <t xml:space="preserve">Improvement</t>
  </si>
  <si>
    <t xml:space="preserve">Hedge_Effectiveness_%</t>
  </si>
  <si>
    <t xml:space="preserve">Value at Risk — Parametric vs Historical Simulation</t>
  </si>
  <si>
    <t xml:space="preserve">Historical VaR estimated from 65 daily observations — treat the 99% figure as indicative given the small sample</t>
  </si>
  <si>
    <t xml:space="preserve">Confidence</t>
  </si>
  <si>
    <t xml:space="preserve">Parametric_VaR</t>
  </si>
  <si>
    <t xml:space="preserve">Historical_VaR</t>
  </si>
  <si>
    <t xml:space="preserve">95%</t>
  </si>
  <si>
    <t xml:space="preserve">99%</t>
  </si>
  <si>
    <t xml:space="preserve">Note: with only ~65 daily return observations, the 99% historical VaR is driven by roughly the single worst day in the sample and should be read as indicative rather than precise. A longer history (1+ year) would tighten this estimate.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</si>
</sst>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#,##0.00"/>
    <numFmt numFmtId="166" formatCode="0.0%"/>
    <numFmt numFmtId="167" formatCode="0.00%"/>
    <numFmt numFmtId="168" formatCode="0.0000%"/>
    <numFmt numFmtId="169" formatCode="0.0000"/>
    <numFmt numFmtId="170" formatCode="0"/>
    <numFmt numFmtId="171" formatCode="#,##0.000"/>
    <numFmt numFmtId="172" formatCode="#,##0.0000"/>
    <numFmt numFmtId="173" formatCode="0.000000"/>
    <numFmt numFmtId="174" formatCode="#,##0"/>
    <numFmt numFmtId="175" formatCode="#,##0.000000"/>
    <numFmt numFmtId="176" formatCode="0.0"/>
    <numFmt numFmtId="177" formatCode="0.00\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name val="Arial"/>
      <family val="0"/>
      <charset val="1"/>
    </font>
    <font>
      <i val="true"/>
      <sz val="9"/>
      <color rgb="FFC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6F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2F6FA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160920</xdr:rowOff>
    </xdr:from>
    <xdr:to>
      <xdr:col>12</xdr:col>
      <xdr:colOff>91080</xdr:colOff>
      <xdr:row>33</xdr:row>
      <xdr:rowOff>160560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571680"/>
          <a:ext cx="7429320" cy="5905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11</xdr:row>
      <xdr:rowOff>48240</xdr:rowOff>
    </xdr:from>
    <xdr:to>
      <xdr:col>5</xdr:col>
      <xdr:colOff>399960</xdr:colOff>
      <xdr:row>32</xdr:row>
      <xdr:rowOff>48240</xdr:rowOff>
    </xdr:to>
    <xdr:pic>
      <xdr:nvPicPr>
        <xdr:cNvPr id="1" name="Image 1" descr="Picture"/>
        <xdr:cNvPicPr/>
      </xdr:nvPicPr>
      <xdr:blipFill>
        <a:blip r:embed="rId1"/>
        <a:stretch/>
      </xdr:blipFill>
      <xdr:spPr>
        <a:xfrm>
          <a:off x="0" y="2286000"/>
          <a:ext cx="5333760" cy="40003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6"/>
    <col collapsed="false" customWidth="true" hidden="false" outlineLevel="0" max="3" min="3" style="0" width="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n">
        <v>1895.17</v>
      </c>
    </row>
    <row r="6" customFormat="false" ht="15" hidden="false" customHeight="false" outlineLevel="0" collapsed="false">
      <c r="A6" s="4" t="s">
        <v>4</v>
      </c>
      <c r="B6" s="6" t="n">
        <v>0.065</v>
      </c>
    </row>
    <row r="7" customFormat="false" ht="15" hidden="false" customHeight="false" outlineLevel="0" collapsed="false">
      <c r="A7" s="4" t="s">
        <v>5</v>
      </c>
      <c r="B7" s="7" t="n">
        <v>0.143921204813132</v>
      </c>
    </row>
    <row r="8" customFormat="false" ht="15" hidden="false" customHeight="false" outlineLevel="0" collapsed="false">
      <c r="A8" s="4" t="s">
        <v>6</v>
      </c>
      <c r="B8" s="8" t="n">
        <v>0.0015335050126772</v>
      </c>
    </row>
    <row r="9" customFormat="false" ht="15" hidden="false" customHeight="false" outlineLevel="0" collapsed="false">
      <c r="A9" s="4" t="s">
        <v>7</v>
      </c>
      <c r="B9" s="8" t="n">
        <v>0.00906618372200807</v>
      </c>
    </row>
    <row r="10" customFormat="false" ht="15" hidden="false" customHeight="false" outlineLevel="0" collapsed="false">
      <c r="A10" s="4" t="s">
        <v>8</v>
      </c>
      <c r="B10" s="9" t="n">
        <v>0.566614650419129</v>
      </c>
    </row>
    <row r="11" customFormat="false" ht="15" hidden="false" customHeight="false" outlineLevel="0" collapsed="false">
      <c r="A11" s="4" t="s">
        <v>9</v>
      </c>
      <c r="B11" s="9" t="n">
        <v>5.36334989905302</v>
      </c>
    </row>
    <row r="12" customFormat="false" ht="15" hidden="false" customHeight="false" outlineLevel="0" collapsed="false">
      <c r="A12" s="4" t="s">
        <v>10</v>
      </c>
      <c r="B12" s="10" t="n">
        <v>65</v>
      </c>
    </row>
    <row r="13" customFormat="false" ht="15" hidden="false" customHeight="false" outlineLevel="0" collapsed="false">
      <c r="A13" s="4" t="s">
        <v>11</v>
      </c>
      <c r="B13" s="11" t="s">
        <v>12</v>
      </c>
    </row>
    <row r="14" customFormat="false" ht="45" hidden="false" customHeight="true" outlineLevel="0" collapsed="false">
      <c r="A14" s="4" t="s">
        <v>13</v>
      </c>
      <c r="B14" s="12" t="s">
        <v>14</v>
      </c>
    </row>
    <row r="16" customFormat="false" ht="15" hidden="false" customHeight="false" outlineLevel="0" collapsed="false">
      <c r="A16" s="3" t="s">
        <v>15</v>
      </c>
    </row>
    <row r="17" customFormat="false" ht="15" hidden="false" customHeight="false" outlineLevel="0" collapsed="false">
      <c r="A17" s="4" t="s">
        <v>16</v>
      </c>
      <c r="B17" s="13" t="n">
        <v>1800.411</v>
      </c>
    </row>
    <row r="18" customFormat="false" ht="15" hidden="false" customHeight="false" outlineLevel="0" collapsed="false">
      <c r="A18" s="4" t="s">
        <v>17</v>
      </c>
      <c r="B18" s="13" t="n">
        <v>1857.267</v>
      </c>
    </row>
    <row r="19" customFormat="false" ht="15" hidden="false" customHeight="false" outlineLevel="0" collapsed="false">
      <c r="A19" s="4" t="s">
        <v>18</v>
      </c>
      <c r="B19" s="13" t="n">
        <v>1895.17</v>
      </c>
    </row>
    <row r="20" customFormat="false" ht="15" hidden="false" customHeight="false" outlineLevel="0" collapsed="false">
      <c r="A20" s="4" t="s">
        <v>19</v>
      </c>
      <c r="B20" s="13" t="n">
        <v>1933.073</v>
      </c>
    </row>
    <row r="21" customFormat="false" ht="15" hidden="false" customHeight="false" outlineLevel="0" collapsed="false">
      <c r="A21" s="4" t="s">
        <v>20</v>
      </c>
      <c r="B21" s="13" t="n">
        <v>1989.929</v>
      </c>
    </row>
    <row r="23" customFormat="false" ht="15" hidden="false" customHeight="false" outlineLevel="0" collapsed="false">
      <c r="A23" s="3" t="s">
        <v>21</v>
      </c>
      <c r="B23" s="4" t="s">
        <v>22</v>
      </c>
    </row>
    <row r="25" customFormat="false" ht="15" hidden="false" customHeight="false" outlineLevel="0" collapsed="false">
      <c r="A25" s="3" t="s">
        <v>23</v>
      </c>
    </row>
    <row r="26" customFormat="false" ht="15" hidden="false" customHeight="false" outlineLevel="0" collapsed="false">
      <c r="A26" s="4" t="s">
        <v>24</v>
      </c>
      <c r="B26" s="14" t="n">
        <f aca="false">'Hedge Summary'!B5</f>
        <v>11.91097106275</v>
      </c>
    </row>
    <row r="27" customFormat="false" ht="15" hidden="false" customHeight="false" outlineLevel="0" collapsed="false">
      <c r="A27" s="4" t="s">
        <v>25</v>
      </c>
      <c r="B27" s="14" t="n">
        <f aca="false">'Hedge Summary'!C5</f>
        <v>0</v>
      </c>
    </row>
    <row r="28" customFormat="false" ht="15" hidden="false" customHeight="false" outlineLevel="0" collapsed="false">
      <c r="A28" s="4" t="s">
        <v>26</v>
      </c>
      <c r="B28" s="14" t="n">
        <f aca="false">'Hedge Summary'!B6</f>
        <v>0.0355909627751743</v>
      </c>
    </row>
    <row r="29" customFormat="false" ht="15" hidden="false" customHeight="false" outlineLevel="0" collapsed="false">
      <c r="A29" s="4" t="s">
        <v>27</v>
      </c>
      <c r="B29" s="14" t="n">
        <f aca="false">'Hedge Summary'!C6</f>
        <v>0</v>
      </c>
    </row>
    <row r="30" customFormat="false" ht="15" hidden="false" customHeight="false" outlineLevel="0" collapsed="false">
      <c r="A30" s="4" t="s">
        <v>28</v>
      </c>
      <c r="B30" s="14" t="n">
        <f aca="false">'Portfolio Composition'!F12</f>
        <v>385.494224151538</v>
      </c>
    </row>
    <row r="31" customFormat="false" ht="15" hidden="false" customHeight="false" outlineLevel="0" collapsed="false">
      <c r="A31" s="4" t="s">
        <v>29</v>
      </c>
      <c r="B31" s="14" t="n">
        <f aca="false">'VaR Summary'!B5</f>
        <v>336.655535985214</v>
      </c>
    </row>
    <row r="32" customFormat="false" ht="15" hidden="false" customHeight="false" outlineLevel="0" collapsed="false">
      <c r="A32" s="4" t="s">
        <v>30</v>
      </c>
      <c r="B32" s="14" t="n">
        <f aca="false">'VaR Summary'!B6</f>
        <v>476.024788268454</v>
      </c>
    </row>
    <row r="33" customFormat="false" ht="15" hidden="false" customHeight="false" outlineLevel="0" collapsed="false">
      <c r="A33" s="4" t="s">
        <v>31</v>
      </c>
      <c r="B33" s="14" t="n">
        <f aca="false">'VaR Summary'!C5</f>
        <v>256.354703861143</v>
      </c>
    </row>
    <row r="34" customFormat="false" ht="15" hidden="false" customHeight="false" outlineLevel="0" collapsed="false">
      <c r="A34" s="4" t="s">
        <v>32</v>
      </c>
      <c r="B34" s="14" t="n">
        <f aca="false">'VaR Summary'!C6</f>
        <v>401.968393657257</v>
      </c>
    </row>
    <row r="35" customFormat="false" ht="15" hidden="false" customHeight="false" outlineLevel="0" collapsed="false">
      <c r="A35" s="4" t="s">
        <v>33</v>
      </c>
      <c r="B35" s="15" t="n">
        <f aca="false">AVERAGE('Implied Vols'!H:H)</f>
        <v>0.168772464971913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2"/>
    <col collapsed="false" customWidth="true" hidden="false" outlineLevel="0" max="4" min="4" style="0" width="14"/>
  </cols>
  <sheetData>
    <row r="1" customFormat="false" ht="17.35" hidden="false" customHeight="false" outlineLevel="0" collapsed="false">
      <c r="A1" s="1" t="s">
        <v>34</v>
      </c>
    </row>
    <row r="2" customFormat="false" ht="15" hidden="false" customHeight="false" outlineLevel="0" collapsed="false">
      <c r="A2" s="2" t="s">
        <v>35</v>
      </c>
    </row>
    <row r="4" customFormat="false" ht="15" hidden="false" customHeight="false" outlineLevel="0" collapsed="false">
      <c r="A4" s="3" t="s">
        <v>36</v>
      </c>
    </row>
    <row r="5" customFormat="false" ht="15" hidden="false" customHeight="false" outlineLevel="0" collapsed="false">
      <c r="A5" s="16" t="s">
        <v>37</v>
      </c>
      <c r="B5" s="16" t="s">
        <v>38</v>
      </c>
    </row>
    <row r="6" customFormat="false" ht="15" hidden="false" customHeight="false" outlineLevel="0" collapsed="false">
      <c r="A6" s="17" t="s">
        <v>6</v>
      </c>
      <c r="B6" s="18" t="s">
        <v>39</v>
      </c>
    </row>
    <row r="7" customFormat="false" ht="15" hidden="false" customHeight="false" outlineLevel="0" collapsed="false">
      <c r="A7" s="19" t="s">
        <v>7</v>
      </c>
      <c r="B7" s="20" t="s">
        <v>40</v>
      </c>
    </row>
    <row r="8" customFormat="false" ht="15" hidden="false" customHeight="false" outlineLevel="0" collapsed="false">
      <c r="A8" s="17" t="s">
        <v>41</v>
      </c>
      <c r="B8" s="18" t="s">
        <v>42</v>
      </c>
    </row>
    <row r="9" customFormat="false" ht="15" hidden="false" customHeight="false" outlineLevel="0" collapsed="false">
      <c r="A9" s="19" t="s">
        <v>8</v>
      </c>
      <c r="B9" s="20" t="s">
        <v>43</v>
      </c>
    </row>
    <row r="10" customFormat="false" ht="15" hidden="false" customHeight="false" outlineLevel="0" collapsed="false">
      <c r="A10" s="17" t="s">
        <v>9</v>
      </c>
      <c r="B10" s="18" t="s">
        <v>44</v>
      </c>
    </row>
    <row r="11" customFormat="false" ht="15" hidden="false" customHeight="false" outlineLevel="0" collapsed="false">
      <c r="A11" s="19" t="s">
        <v>10</v>
      </c>
      <c r="B11" s="20" t="s">
        <v>45</v>
      </c>
    </row>
    <row r="12" customFormat="false" ht="15" hidden="false" customHeight="false" outlineLevel="0" collapsed="false">
      <c r="A12" s="17" t="s">
        <v>3</v>
      </c>
      <c r="B12" s="18" t="s">
        <v>46</v>
      </c>
    </row>
    <row r="13" customFormat="false" ht="15" hidden="false" customHeight="false" outlineLevel="0" collapsed="false">
      <c r="A13" s="19" t="s">
        <v>47</v>
      </c>
      <c r="B13" s="20" t="s">
        <v>48</v>
      </c>
    </row>
    <row r="16" customFormat="false" ht="15" hidden="false" customHeight="false" outlineLevel="0" collapsed="false">
      <c r="A16" s="3" t="s">
        <v>49</v>
      </c>
    </row>
    <row r="17" customFormat="false" ht="15" hidden="false" customHeight="false" outlineLevel="0" collapsed="false">
      <c r="A17" s="16" t="s">
        <v>50</v>
      </c>
      <c r="B17" s="16" t="s">
        <v>51</v>
      </c>
      <c r="C17" s="16" t="s">
        <v>52</v>
      </c>
      <c r="D17" s="16" t="s">
        <v>53</v>
      </c>
    </row>
    <row r="18" customFormat="false" ht="15" hidden="false" customHeight="false" outlineLevel="0" collapsed="false">
      <c r="A18" s="17" t="s">
        <v>54</v>
      </c>
      <c r="B18" s="21" t="n">
        <v>1789.9</v>
      </c>
      <c r="C18" s="21" t="n">
        <v>1789.9</v>
      </c>
      <c r="D18" s="22" t="n">
        <v>-0.003680575201119</v>
      </c>
    </row>
    <row r="19" customFormat="false" ht="15" hidden="false" customHeight="false" outlineLevel="0" collapsed="false">
      <c r="A19" s="19" t="s">
        <v>55</v>
      </c>
      <c r="B19" s="23" t="n">
        <v>1788.5</v>
      </c>
      <c r="C19" s="23" t="n">
        <v>1788.5</v>
      </c>
      <c r="D19" s="24" t="n">
        <v>-0.0007824726533819</v>
      </c>
    </row>
    <row r="20" customFormat="false" ht="15" hidden="false" customHeight="false" outlineLevel="0" collapsed="false">
      <c r="A20" s="17" t="s">
        <v>56</v>
      </c>
      <c r="B20" s="21" t="n">
        <v>1780.1</v>
      </c>
      <c r="C20" s="21" t="n">
        <v>1780.1</v>
      </c>
      <c r="D20" s="22" t="n">
        <v>-0.0047077372156852</v>
      </c>
    </row>
    <row r="21" customFormat="false" ht="15" hidden="false" customHeight="false" outlineLevel="0" collapsed="false">
      <c r="A21" s="19" t="s">
        <v>57</v>
      </c>
      <c r="B21" s="23" t="n">
        <v>1782.2</v>
      </c>
      <c r="C21" s="23" t="n">
        <v>1782.2</v>
      </c>
      <c r="D21" s="24" t="n">
        <v>0.0011790136952323</v>
      </c>
    </row>
    <row r="22" customFormat="false" ht="15" hidden="false" customHeight="false" outlineLevel="0" collapsed="false">
      <c r="A22" s="17" t="s">
        <v>58</v>
      </c>
      <c r="B22" s="21" t="n">
        <v>1788.8</v>
      </c>
      <c r="C22" s="21" t="n">
        <v>1788.8</v>
      </c>
      <c r="D22" s="22" t="n">
        <v>0.0036964477821605</v>
      </c>
    </row>
    <row r="23" customFormat="false" ht="15" hidden="false" customHeight="false" outlineLevel="0" collapsed="false">
      <c r="A23" s="19" t="s">
        <v>59</v>
      </c>
      <c r="B23" s="23" t="n">
        <v>1779</v>
      </c>
      <c r="C23" s="23" t="n">
        <v>1779</v>
      </c>
      <c r="D23" s="24" t="n">
        <v>-0.0054935952949448</v>
      </c>
    </row>
    <row r="24" customFormat="false" ht="15" hidden="false" customHeight="false" outlineLevel="0" collapsed="false">
      <c r="A24" s="17" t="s">
        <v>60</v>
      </c>
      <c r="B24" s="21" t="n">
        <v>1786.4</v>
      </c>
      <c r="C24" s="21" t="n">
        <v>1786.4</v>
      </c>
      <c r="D24" s="22" t="n">
        <v>0.004151012860113</v>
      </c>
    </row>
    <row r="25" customFormat="false" ht="15" hidden="false" customHeight="false" outlineLevel="0" collapsed="false">
      <c r="A25" s="19" t="s">
        <v>61</v>
      </c>
      <c r="B25" s="23" t="n">
        <v>1794.2</v>
      </c>
      <c r="C25" s="23" t="n">
        <v>1794.2</v>
      </c>
      <c r="D25" s="24" t="n">
        <v>0.0043568185992349</v>
      </c>
    </row>
    <row r="26" customFormat="false" ht="15" hidden="false" customHeight="false" outlineLevel="0" collapsed="false">
      <c r="A26" s="17" t="s">
        <v>62</v>
      </c>
      <c r="B26" s="21" t="n">
        <v>1807.7</v>
      </c>
      <c r="C26" s="21" t="n">
        <v>1807.7</v>
      </c>
      <c r="D26" s="22" t="n">
        <v>0.0074960788556255</v>
      </c>
    </row>
    <row r="27" customFormat="false" ht="15" hidden="false" customHeight="false" outlineLevel="0" collapsed="false">
      <c r="A27" s="19" t="s">
        <v>63</v>
      </c>
      <c r="B27" s="23" t="n">
        <v>1806</v>
      </c>
      <c r="C27" s="23" t="n">
        <v>1806</v>
      </c>
      <c r="D27" s="24" t="n">
        <v>-0.000940864003878</v>
      </c>
    </row>
    <row r="28" customFormat="false" ht="15" hidden="false" customHeight="false" outlineLevel="0" collapsed="false">
      <c r="A28" s="17" t="s">
        <v>64</v>
      </c>
      <c r="B28" s="21" t="n">
        <v>1800.7</v>
      </c>
      <c r="C28" s="21" t="n">
        <v>1800.7</v>
      </c>
      <c r="D28" s="22" t="n">
        <v>-0.0029389768014709</v>
      </c>
    </row>
    <row r="29" customFormat="false" ht="15" hidden="false" customHeight="false" outlineLevel="0" collapsed="false">
      <c r="A29" s="19" t="s">
        <v>65</v>
      </c>
      <c r="B29" s="23" t="n">
        <v>1820.4</v>
      </c>
      <c r="C29" s="23" t="n">
        <v>1820.4</v>
      </c>
      <c r="D29" s="24" t="n">
        <v>0.0108807789670271</v>
      </c>
    </row>
    <row r="30" customFormat="false" ht="15" hidden="false" customHeight="false" outlineLevel="0" collapsed="false">
      <c r="A30" s="17" t="s">
        <v>66</v>
      </c>
      <c r="B30" s="21" t="n">
        <v>1824.8</v>
      </c>
      <c r="C30" s="21" t="n">
        <v>1824.8</v>
      </c>
      <c r="D30" s="22" t="n">
        <v>0.0024141348276913</v>
      </c>
    </row>
    <row r="31" customFormat="false" ht="15" hidden="false" customHeight="false" outlineLevel="0" collapsed="false">
      <c r="A31" s="19" t="s">
        <v>67</v>
      </c>
      <c r="B31" s="23" t="n">
        <v>1838.3</v>
      </c>
      <c r="C31" s="23" t="n">
        <v>1838.3</v>
      </c>
      <c r="D31" s="24" t="n">
        <v>0.0073708395186477</v>
      </c>
    </row>
    <row r="32" customFormat="false" ht="15" hidden="false" customHeight="false" outlineLevel="0" collapsed="false">
      <c r="A32" s="17" t="s">
        <v>68</v>
      </c>
      <c r="B32" s="21" t="n">
        <v>1862.9</v>
      </c>
      <c r="C32" s="21" t="n">
        <v>1862.9</v>
      </c>
      <c r="D32" s="22" t="n">
        <v>0.0132931818068369</v>
      </c>
    </row>
    <row r="33" customFormat="false" ht="15" hidden="false" customHeight="false" outlineLevel="0" collapsed="false">
      <c r="A33" s="19" t="s">
        <v>69</v>
      </c>
      <c r="B33" s="23" t="n">
        <v>1868</v>
      </c>
      <c r="C33" s="23" t="n">
        <v>1868</v>
      </c>
      <c r="D33" s="24" t="n">
        <v>0.0027339264931249</v>
      </c>
    </row>
    <row r="34" customFormat="false" ht="15" hidden="false" customHeight="false" outlineLevel="0" collapsed="false">
      <c r="A34" s="17" t="s">
        <v>70</v>
      </c>
      <c r="B34" s="21" t="n">
        <v>1874.4</v>
      </c>
      <c r="C34" s="21" t="n">
        <v>1874.4</v>
      </c>
      <c r="D34" s="22" t="n">
        <v>0.0034202684047979</v>
      </c>
    </row>
    <row r="35" customFormat="false" ht="15" hidden="false" customHeight="false" outlineLevel="0" collapsed="false">
      <c r="A35" s="19" t="s">
        <v>71</v>
      </c>
      <c r="B35" s="23" t="n">
        <v>1862.8</v>
      </c>
      <c r="C35" s="23" t="n">
        <v>1862.8</v>
      </c>
      <c r="D35" s="24" t="n">
        <v>-0.0062078760853638</v>
      </c>
    </row>
    <row r="36" customFormat="false" ht="15" hidden="false" customHeight="false" outlineLevel="0" collapsed="false">
      <c r="A36" s="17" t="s">
        <v>72</v>
      </c>
      <c r="B36" s="21" t="n">
        <v>1874.8</v>
      </c>
      <c r="C36" s="21" t="n">
        <v>1874.8</v>
      </c>
      <c r="D36" s="22" t="n">
        <v>0.006421254940329</v>
      </c>
    </row>
    <row r="37" customFormat="false" ht="15" hidden="false" customHeight="false" outlineLevel="0" collapsed="false">
      <c r="A37" s="19" t="s">
        <v>73</v>
      </c>
      <c r="B37" s="23" t="n">
        <v>1862.5</v>
      </c>
      <c r="C37" s="23" t="n">
        <v>1862.5</v>
      </c>
      <c r="D37" s="24" t="n">
        <v>-0.0065823157948364</v>
      </c>
    </row>
    <row r="38" customFormat="false" ht="15" hidden="false" customHeight="false" outlineLevel="0" collapsed="false">
      <c r="A38" s="17" t="s">
        <v>74</v>
      </c>
      <c r="B38" s="21" t="n">
        <v>1866.2</v>
      </c>
      <c r="C38" s="21" t="n">
        <v>1866.2</v>
      </c>
      <c r="D38" s="22" t="n">
        <v>0.0019846065462069</v>
      </c>
    </row>
    <row r="39" customFormat="false" ht="15" hidden="false" customHeight="false" outlineLevel="0" collapsed="false">
      <c r="A39" s="19" t="s">
        <v>75</v>
      </c>
      <c r="B39" s="23" t="n">
        <v>1871</v>
      </c>
      <c r="C39" s="23" t="n">
        <v>1871</v>
      </c>
      <c r="D39" s="24" t="n">
        <v>0.0025687694741679</v>
      </c>
    </row>
    <row r="40" customFormat="false" ht="15" hidden="false" customHeight="false" outlineLevel="0" collapsed="false">
      <c r="A40" s="17" t="s">
        <v>76</v>
      </c>
      <c r="B40" s="21" t="n">
        <v>1904.8</v>
      </c>
      <c r="C40" s="21" t="n">
        <v>1904.8</v>
      </c>
      <c r="D40" s="22" t="n">
        <v>0.0179039688985634</v>
      </c>
    </row>
    <row r="41" customFormat="false" ht="15" hidden="false" customHeight="false" outlineLevel="0" collapsed="false">
      <c r="A41" s="19" t="s">
        <v>77</v>
      </c>
      <c r="B41" s="23" t="n">
        <v>1912.8</v>
      </c>
      <c r="C41" s="23" t="n">
        <v>1912.8</v>
      </c>
      <c r="D41" s="24" t="n">
        <v>0.0041911209714618</v>
      </c>
    </row>
    <row r="42" customFormat="false" ht="15" hidden="false" customHeight="false" outlineLevel="0" collapsed="false">
      <c r="A42" s="17" t="s">
        <v>78</v>
      </c>
      <c r="B42" s="21" t="n">
        <v>1903.4</v>
      </c>
      <c r="C42" s="21" t="n">
        <v>1903.4</v>
      </c>
      <c r="D42" s="22" t="n">
        <v>-0.0049263765058718</v>
      </c>
    </row>
    <row r="43" customFormat="false" ht="15" hidden="false" customHeight="false" outlineLevel="0" collapsed="false">
      <c r="A43" s="19" t="s">
        <v>79</v>
      </c>
      <c r="B43" s="23" t="n">
        <v>1888.2</v>
      </c>
      <c r="C43" s="23" t="n">
        <v>1888.2</v>
      </c>
      <c r="D43" s="24" t="n">
        <v>-0.0080177663398268</v>
      </c>
    </row>
    <row r="44" customFormat="false" ht="15" hidden="false" customHeight="false" outlineLevel="0" collapsed="false">
      <c r="A44" s="17" t="s">
        <v>80</v>
      </c>
      <c r="B44" s="21" t="n">
        <v>1938.7</v>
      </c>
      <c r="C44" s="21" t="n">
        <v>1938.7</v>
      </c>
      <c r="D44" s="22" t="n">
        <v>0.0263936510467455</v>
      </c>
    </row>
    <row r="45" customFormat="false" ht="15" hidden="false" customHeight="false" outlineLevel="0" collapsed="false">
      <c r="A45" s="19" t="s">
        <v>81</v>
      </c>
      <c r="B45" s="23" t="n">
        <v>1935.5</v>
      </c>
      <c r="C45" s="23" t="n">
        <v>1935.5</v>
      </c>
      <c r="D45" s="24" t="n">
        <v>-0.001651954327459</v>
      </c>
    </row>
    <row r="46" customFormat="false" ht="15" hidden="false" customHeight="false" outlineLevel="0" collapsed="false">
      <c r="A46" s="17" t="s">
        <v>82</v>
      </c>
      <c r="B46" s="21" t="n">
        <v>1921.4</v>
      </c>
      <c r="C46" s="21" t="n">
        <v>1921.4</v>
      </c>
      <c r="D46" s="22" t="n">
        <v>-0.0073116040420646</v>
      </c>
    </row>
    <row r="47" customFormat="false" ht="15" hidden="false" customHeight="false" outlineLevel="0" collapsed="false">
      <c r="A47" s="19" t="s">
        <v>83</v>
      </c>
      <c r="B47" s="23" t="n">
        <v>1942.6</v>
      </c>
      <c r="C47" s="23" t="n">
        <v>1942.6</v>
      </c>
      <c r="D47" s="24" t="n">
        <v>0.010973194992592</v>
      </c>
    </row>
    <row r="48" customFormat="false" ht="15" hidden="false" customHeight="false" outlineLevel="0" collapsed="false">
      <c r="A48" s="17" t="s">
        <v>84</v>
      </c>
      <c r="B48" s="21" t="n">
        <v>1951.5</v>
      </c>
      <c r="C48" s="21" t="n">
        <v>1951.5</v>
      </c>
      <c r="D48" s="22" t="n">
        <v>0.0045710256524394</v>
      </c>
    </row>
    <row r="49" customFormat="false" ht="15" hidden="false" customHeight="false" outlineLevel="0" collapsed="false">
      <c r="A49" s="19" t="s">
        <v>85</v>
      </c>
      <c r="B49" s="23" t="n">
        <v>1950.1</v>
      </c>
      <c r="C49" s="23" t="n">
        <v>1950.1</v>
      </c>
      <c r="D49" s="24" t="n">
        <v>-0.0007176543264745</v>
      </c>
    </row>
    <row r="50" customFormat="false" ht="15" hidden="false" customHeight="false" outlineLevel="0" collapsed="false">
      <c r="A50" s="17" t="s">
        <v>86</v>
      </c>
      <c r="B50" s="21" t="n">
        <v>1932.6</v>
      </c>
      <c r="C50" s="21" t="n">
        <v>1932.6</v>
      </c>
      <c r="D50" s="22" t="n">
        <v>-0.0090144067289869</v>
      </c>
    </row>
    <row r="51" customFormat="false" ht="15" hidden="false" customHeight="false" outlineLevel="0" collapsed="false">
      <c r="A51" s="19" t="s">
        <v>87</v>
      </c>
      <c r="B51" s="23" t="n">
        <v>1956.4</v>
      </c>
      <c r="C51" s="23" t="n">
        <v>1956.4</v>
      </c>
      <c r="D51" s="24" t="n">
        <v>0.012239803099994</v>
      </c>
    </row>
    <row r="52" customFormat="false" ht="15" hidden="false" customHeight="false" outlineLevel="0" collapsed="false">
      <c r="A52" s="17" t="s">
        <v>88</v>
      </c>
      <c r="B52" s="21" t="n">
        <v>1961.9</v>
      </c>
      <c r="C52" s="21" t="n">
        <v>1961.9</v>
      </c>
      <c r="D52" s="22" t="n">
        <v>0.002807341761581</v>
      </c>
    </row>
    <row r="53" customFormat="false" ht="15" hidden="false" customHeight="false" outlineLevel="0" collapsed="false">
      <c r="A53" s="19" t="s">
        <v>89</v>
      </c>
      <c r="B53" s="23" t="n">
        <v>1943</v>
      </c>
      <c r="C53" s="23" t="n">
        <v>1943</v>
      </c>
      <c r="D53" s="24" t="n">
        <v>-0.0096802210493431</v>
      </c>
    </row>
    <row r="54" customFormat="false" ht="15" hidden="false" customHeight="false" outlineLevel="0" collapsed="false">
      <c r="A54" s="17" t="s">
        <v>90</v>
      </c>
      <c r="B54" s="21" t="n">
        <v>1954</v>
      </c>
      <c r="C54" s="21" t="n">
        <v>1954</v>
      </c>
      <c r="D54" s="22" t="n">
        <v>0.005645383225288</v>
      </c>
    </row>
    <row r="55" customFormat="false" ht="15" hidden="false" customHeight="false" outlineLevel="0" collapsed="false">
      <c r="A55" s="19" t="s">
        <v>91</v>
      </c>
      <c r="B55" s="23" t="n">
        <v>1941.1</v>
      </c>
      <c r="C55" s="23" t="n">
        <v>1941.1</v>
      </c>
      <c r="D55" s="24" t="n">
        <v>-0.0066237309256824</v>
      </c>
    </row>
    <row r="56" customFormat="false" ht="15" hidden="false" customHeight="false" outlineLevel="0" collapsed="false">
      <c r="A56" s="17" t="s">
        <v>92</v>
      </c>
      <c r="B56" s="21" t="n">
        <v>1973.7</v>
      </c>
      <c r="C56" s="21" t="n">
        <v>1973.7</v>
      </c>
      <c r="D56" s="22" t="n">
        <v>0.0166551310830162</v>
      </c>
    </row>
    <row r="57" customFormat="false" ht="15" hidden="false" customHeight="false" outlineLevel="0" collapsed="false">
      <c r="A57" s="19" t="s">
        <v>93</v>
      </c>
      <c r="B57" s="23" t="n">
        <v>1976.7</v>
      </c>
      <c r="C57" s="23" t="n">
        <v>1976.7</v>
      </c>
      <c r="D57" s="24" t="n">
        <v>0.001518833827822</v>
      </c>
    </row>
    <row r="58" customFormat="false" ht="15" hidden="false" customHeight="false" outlineLevel="0" collapsed="false">
      <c r="A58" s="17" t="s">
        <v>94</v>
      </c>
      <c r="B58" s="21" t="n">
        <v>1989.9</v>
      </c>
      <c r="C58" s="21" t="n">
        <v>1989.9</v>
      </c>
      <c r="D58" s="22" t="n">
        <v>0.006655598611736</v>
      </c>
    </row>
    <row r="59" customFormat="false" ht="15" hidden="false" customHeight="false" outlineLevel="0" collapsed="false">
      <c r="A59" s="19" t="s">
        <v>95</v>
      </c>
      <c r="B59" s="23" t="n">
        <v>2001.1</v>
      </c>
      <c r="C59" s="23" t="n">
        <v>2001.1</v>
      </c>
      <c r="D59" s="24" t="n">
        <v>0.0056126431478978</v>
      </c>
    </row>
    <row r="60" customFormat="false" ht="15" hidden="false" customHeight="false" outlineLevel="0" collapsed="false">
      <c r="A60" s="17" t="s">
        <v>96</v>
      </c>
      <c r="B60" s="21" t="n">
        <v>1990.5</v>
      </c>
      <c r="C60" s="21" t="n">
        <v>1990.5</v>
      </c>
      <c r="D60" s="22" t="n">
        <v>-0.0053111659071458</v>
      </c>
    </row>
    <row r="61" customFormat="false" ht="15" hidden="false" customHeight="false" outlineLevel="0" collapsed="false">
      <c r="A61" s="19" t="s">
        <v>97</v>
      </c>
      <c r="B61" s="23" t="n">
        <v>1963.5</v>
      </c>
      <c r="C61" s="23" t="n">
        <v>1963.5</v>
      </c>
      <c r="D61" s="24" t="n">
        <v>-0.0136572684223075</v>
      </c>
    </row>
    <row r="62" customFormat="false" ht="15" hidden="false" customHeight="false" outlineLevel="0" collapsed="false">
      <c r="A62" s="17" t="s">
        <v>98</v>
      </c>
      <c r="B62" s="21" t="n">
        <v>1964</v>
      </c>
      <c r="C62" s="21" t="n">
        <v>1964</v>
      </c>
      <c r="D62" s="22" t="n">
        <v>0.0002546148963468</v>
      </c>
    </row>
    <row r="63" customFormat="false" ht="15" hidden="false" customHeight="false" outlineLevel="0" collapsed="false">
      <c r="A63" s="19" t="s">
        <v>99</v>
      </c>
      <c r="B63" s="23" t="n">
        <v>1940</v>
      </c>
      <c r="C63" s="23" t="n">
        <v>1940</v>
      </c>
      <c r="D63" s="24" t="n">
        <v>-0.0122952368570373</v>
      </c>
    </row>
    <row r="64" customFormat="false" ht="15" hidden="false" customHeight="false" outlineLevel="0" collapsed="false">
      <c r="A64" s="17" t="s">
        <v>100</v>
      </c>
      <c r="B64" s="21" t="n">
        <v>1951</v>
      </c>
      <c r="C64" s="21" t="n">
        <v>1951</v>
      </c>
      <c r="D64" s="22" t="n">
        <v>0.0056540885657373</v>
      </c>
    </row>
    <row r="65" customFormat="false" ht="15" hidden="false" customHeight="false" outlineLevel="0" collapsed="false">
      <c r="A65" s="19" t="s">
        <v>101</v>
      </c>
      <c r="B65" s="23" t="n">
        <v>1945</v>
      </c>
      <c r="C65" s="23" t="n">
        <v>1945</v>
      </c>
      <c r="D65" s="24" t="n">
        <v>-0.0030800845705645</v>
      </c>
    </row>
    <row r="66" customFormat="false" ht="15" hidden="false" customHeight="false" outlineLevel="0" collapsed="false">
      <c r="A66" s="17" t="s">
        <v>102</v>
      </c>
      <c r="B66" s="21" t="n">
        <v>1944.4</v>
      </c>
      <c r="C66" s="21" t="n">
        <v>1944.4</v>
      </c>
      <c r="D66" s="22" t="n">
        <v>-0.0003085308812461</v>
      </c>
    </row>
    <row r="67" customFormat="false" ht="15" hidden="false" customHeight="false" outlineLevel="0" collapsed="false">
      <c r="A67" s="19" t="s">
        <v>103</v>
      </c>
      <c r="B67" s="23" t="n">
        <v>1942</v>
      </c>
      <c r="C67" s="23" t="n">
        <v>1942</v>
      </c>
      <c r="D67" s="24" t="n">
        <v>-0.0012350763200302</v>
      </c>
    </row>
    <row r="68" customFormat="false" ht="15" hidden="false" customHeight="false" outlineLevel="0" collapsed="false">
      <c r="A68" s="17" t="s">
        <v>104</v>
      </c>
      <c r="B68" s="21" t="n">
        <v>1944</v>
      </c>
      <c r="C68" s="21" t="n">
        <v>1944</v>
      </c>
      <c r="D68" s="22" t="n">
        <v>0.001029336169114</v>
      </c>
    </row>
    <row r="69" customFormat="false" ht="15" hidden="false" customHeight="false" outlineLevel="0" collapsed="false">
      <c r="A69" s="19" t="s">
        <v>105</v>
      </c>
      <c r="B69" s="23" t="n">
        <v>1932</v>
      </c>
      <c r="C69" s="23" t="n">
        <v>1932</v>
      </c>
      <c r="D69" s="24" t="n">
        <v>-0.0061919702479211</v>
      </c>
    </row>
    <row r="70" customFormat="false" ht="15" hidden="false" customHeight="false" outlineLevel="0" collapsed="false">
      <c r="A70" s="17" t="s">
        <v>106</v>
      </c>
      <c r="B70" s="21" t="n">
        <v>1930</v>
      </c>
      <c r="C70" s="21" t="n">
        <v>1930</v>
      </c>
      <c r="D70" s="22" t="n">
        <v>-0.001035732873532</v>
      </c>
    </row>
    <row r="71" customFormat="false" ht="15" hidden="false" customHeight="false" outlineLevel="0" collapsed="false">
      <c r="A71" s="19" t="s">
        <v>107</v>
      </c>
      <c r="B71" s="23" t="n">
        <v>1882</v>
      </c>
      <c r="C71" s="23" t="n">
        <v>1882</v>
      </c>
      <c r="D71" s="24" t="n">
        <v>-0.0251849617536063</v>
      </c>
    </row>
    <row r="72" customFormat="false" ht="15" hidden="false" customHeight="false" outlineLevel="0" collapsed="false">
      <c r="A72" s="17" t="s">
        <v>108</v>
      </c>
      <c r="B72" s="21" t="n">
        <v>1875.1</v>
      </c>
      <c r="C72" s="21" t="n">
        <v>1875.1</v>
      </c>
      <c r="D72" s="22" t="n">
        <v>-0.0036730498296521</v>
      </c>
    </row>
    <row r="73" customFormat="false" ht="15" hidden="false" customHeight="false" outlineLevel="0" collapsed="false">
      <c r="A73" s="19" t="s">
        <v>109</v>
      </c>
      <c r="B73" s="23" t="n">
        <v>1900</v>
      </c>
      <c r="C73" s="23" t="n">
        <v>1900</v>
      </c>
      <c r="D73" s="24" t="n">
        <v>0.0131918948388589</v>
      </c>
    </row>
    <row r="74" customFormat="false" ht="15" hidden="false" customHeight="false" outlineLevel="0" collapsed="false">
      <c r="A74" s="17" t="s">
        <v>110</v>
      </c>
      <c r="B74" s="21" t="n">
        <v>1904</v>
      </c>
      <c r="C74" s="21" t="n">
        <v>1904</v>
      </c>
      <c r="D74" s="22" t="n">
        <v>0.0021030501967788</v>
      </c>
    </row>
    <row r="75" customFormat="false" ht="15" hidden="false" customHeight="false" outlineLevel="0" collapsed="false">
      <c r="A75" s="19" t="s">
        <v>111</v>
      </c>
      <c r="B75" s="23" t="n">
        <v>1902.4</v>
      </c>
      <c r="C75" s="23" t="n">
        <v>1902.4</v>
      </c>
      <c r="D75" s="24" t="n">
        <v>-0.0008406894147932</v>
      </c>
    </row>
    <row r="76" customFormat="false" ht="15" hidden="false" customHeight="false" outlineLevel="0" collapsed="false">
      <c r="A76" s="17" t="s">
        <v>112</v>
      </c>
      <c r="B76" s="21" t="n">
        <v>1910</v>
      </c>
      <c r="C76" s="21" t="n">
        <v>1910</v>
      </c>
      <c r="D76" s="22" t="n">
        <v>0.0039869951041582</v>
      </c>
    </row>
    <row r="77" customFormat="false" ht="15" hidden="false" customHeight="false" outlineLevel="0" collapsed="false">
      <c r="A77" s="19" t="s">
        <v>113</v>
      </c>
      <c r="B77" s="23" t="n">
        <v>1922</v>
      </c>
      <c r="C77" s="23" t="n">
        <v>1922</v>
      </c>
      <c r="D77" s="24" t="n">
        <v>0.0062630684895622</v>
      </c>
    </row>
    <row r="78" customFormat="false" ht="15" hidden="false" customHeight="false" outlineLevel="0" collapsed="false">
      <c r="A78" s="17" t="s">
        <v>114</v>
      </c>
      <c r="B78" s="21" t="n">
        <v>1899.5</v>
      </c>
      <c r="C78" s="21" t="n">
        <v>1899.5</v>
      </c>
      <c r="D78" s="22" t="n">
        <v>-0.0117756169025575</v>
      </c>
    </row>
    <row r="79" customFormat="false" ht="15" hidden="false" customHeight="false" outlineLevel="0" collapsed="false">
      <c r="A79" s="19" t="s">
        <v>115</v>
      </c>
      <c r="B79" s="23" t="n">
        <v>1913.3</v>
      </c>
      <c r="C79" s="23" t="n">
        <v>1913.3</v>
      </c>
      <c r="D79" s="24" t="n">
        <v>0.0072388062632768</v>
      </c>
    </row>
    <row r="80" customFormat="false" ht="15" hidden="false" customHeight="false" outlineLevel="0" collapsed="false">
      <c r="A80" s="17" t="s">
        <v>116</v>
      </c>
      <c r="B80" s="21" t="n">
        <v>1920</v>
      </c>
      <c r="C80" s="21" t="n">
        <v>1920</v>
      </c>
      <c r="D80" s="22" t="n">
        <v>0.0034956861308702</v>
      </c>
    </row>
    <row r="81" customFormat="false" ht="15" hidden="false" customHeight="false" outlineLevel="0" collapsed="false">
      <c r="A81" s="19" t="s">
        <v>117</v>
      </c>
      <c r="B81" s="23" t="n">
        <v>1984.8</v>
      </c>
      <c r="C81" s="23" t="n">
        <v>1984.8</v>
      </c>
      <c r="D81" s="24" t="n">
        <v>0.0331929673557639</v>
      </c>
    </row>
    <row r="82" customFormat="false" ht="15" hidden="false" customHeight="false" outlineLevel="0" collapsed="false">
      <c r="A82" s="17" t="s">
        <v>48</v>
      </c>
      <c r="B82" s="21" t="n">
        <v>1984.8</v>
      </c>
      <c r="C82" s="21" t="n">
        <v>1984.8</v>
      </c>
      <c r="D82" s="22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2"/>
    <col collapsed="false" customWidth="true" hidden="false" outlineLevel="0" max="4" min="4" style="0" width="10"/>
    <col collapsed="false" customWidth="true" hidden="false" outlineLevel="0" max="5" min="5" style="0" width="14"/>
  </cols>
  <sheetData>
    <row r="1" customFormat="false" ht="17.35" hidden="false" customHeight="false" outlineLevel="0" collapsed="false">
      <c r="A1" s="1" t="s">
        <v>118</v>
      </c>
    </row>
    <row r="2" customFormat="false" ht="15" hidden="false" customHeight="false" outlineLevel="0" collapsed="false">
      <c r="A2" s="2" t="s">
        <v>119</v>
      </c>
    </row>
    <row r="4" customFormat="false" ht="15" hidden="false" customHeight="false" outlineLevel="0" collapsed="false">
      <c r="A4" s="16" t="s">
        <v>120</v>
      </c>
      <c r="B4" s="16" t="s">
        <v>121</v>
      </c>
      <c r="C4" s="16" t="s">
        <v>122</v>
      </c>
      <c r="D4" s="16" t="s">
        <v>123</v>
      </c>
      <c r="E4" s="16" t="s">
        <v>124</v>
      </c>
    </row>
    <row r="5" customFormat="false" ht="15" hidden="false" customHeight="false" outlineLevel="0" collapsed="false">
      <c r="A5" s="17" t="s">
        <v>125</v>
      </c>
      <c r="B5" s="21" t="n">
        <v>1600</v>
      </c>
      <c r="C5" s="21" t="n">
        <v>291.25</v>
      </c>
      <c r="D5" s="25" t="n">
        <v>0</v>
      </c>
      <c r="E5" s="17" t="s">
        <v>126</v>
      </c>
    </row>
    <row r="6" customFormat="false" ht="15" hidden="false" customHeight="false" outlineLevel="0" collapsed="false">
      <c r="A6" s="19" t="s">
        <v>125</v>
      </c>
      <c r="B6" s="23" t="n">
        <v>1640</v>
      </c>
      <c r="C6" s="23" t="n">
        <v>279.15</v>
      </c>
      <c r="D6" s="26" t="n">
        <v>0</v>
      </c>
      <c r="E6" s="19" t="s">
        <v>126</v>
      </c>
    </row>
    <row r="7" customFormat="false" ht="15" hidden="false" customHeight="false" outlineLevel="0" collapsed="false">
      <c r="A7" s="17" t="s">
        <v>125</v>
      </c>
      <c r="B7" s="21" t="n">
        <v>1700</v>
      </c>
      <c r="C7" s="21" t="n">
        <v>195</v>
      </c>
      <c r="D7" s="25" t="n">
        <v>0</v>
      </c>
      <c r="E7" s="17" t="s">
        <v>126</v>
      </c>
    </row>
    <row r="8" customFormat="false" ht="15" hidden="false" customHeight="false" outlineLevel="0" collapsed="false">
      <c r="A8" s="19" t="s">
        <v>125</v>
      </c>
      <c r="B8" s="23" t="n">
        <v>1740</v>
      </c>
      <c r="C8" s="23" t="n">
        <v>168</v>
      </c>
      <c r="D8" s="26" t="n">
        <v>4</v>
      </c>
      <c r="E8" s="19" t="s">
        <v>126</v>
      </c>
    </row>
    <row r="9" customFormat="false" ht="15" hidden="false" customHeight="false" outlineLevel="0" collapsed="false">
      <c r="A9" s="17" t="s">
        <v>125</v>
      </c>
      <c r="B9" s="21" t="n">
        <v>1760</v>
      </c>
      <c r="C9" s="21" t="n">
        <v>146.5</v>
      </c>
      <c r="D9" s="25" t="n">
        <v>0</v>
      </c>
      <c r="E9" s="17" t="s">
        <v>126</v>
      </c>
    </row>
    <row r="10" customFormat="false" ht="15" hidden="false" customHeight="false" outlineLevel="0" collapsed="false">
      <c r="A10" s="19" t="s">
        <v>125</v>
      </c>
      <c r="B10" s="23" t="n">
        <v>1780</v>
      </c>
      <c r="C10" s="23" t="n">
        <v>151</v>
      </c>
      <c r="D10" s="26" t="n">
        <v>0</v>
      </c>
      <c r="E10" s="19" t="s">
        <v>126</v>
      </c>
    </row>
    <row r="11" customFormat="false" ht="15" hidden="false" customHeight="false" outlineLevel="0" collapsed="false">
      <c r="A11" s="17" t="s">
        <v>125</v>
      </c>
      <c r="B11" s="21" t="n">
        <v>1800</v>
      </c>
      <c r="C11" s="21" t="n">
        <v>106.6</v>
      </c>
      <c r="D11" s="25" t="n">
        <v>29</v>
      </c>
      <c r="E11" s="17" t="s">
        <v>126</v>
      </c>
    </row>
    <row r="12" customFormat="false" ht="15" hidden="false" customHeight="false" outlineLevel="0" collapsed="false">
      <c r="A12" s="19" t="s">
        <v>125</v>
      </c>
      <c r="B12" s="23" t="n">
        <v>1820</v>
      </c>
      <c r="C12" s="23" t="n">
        <v>92.8</v>
      </c>
      <c r="D12" s="26" t="n">
        <v>25</v>
      </c>
      <c r="E12" s="19" t="s">
        <v>126</v>
      </c>
    </row>
    <row r="13" customFormat="false" ht="15" hidden="false" customHeight="false" outlineLevel="0" collapsed="false">
      <c r="A13" s="17" t="s">
        <v>125</v>
      </c>
      <c r="B13" s="21" t="n">
        <v>1840</v>
      </c>
      <c r="C13" s="21" t="n">
        <v>70.6</v>
      </c>
      <c r="D13" s="25" t="n">
        <v>50</v>
      </c>
      <c r="E13" s="17" t="s">
        <v>126</v>
      </c>
    </row>
    <row r="14" customFormat="false" ht="15" hidden="false" customHeight="false" outlineLevel="0" collapsed="false">
      <c r="A14" s="19" t="s">
        <v>125</v>
      </c>
      <c r="B14" s="23" t="n">
        <v>1860</v>
      </c>
      <c r="C14" s="23" t="n">
        <v>54.9</v>
      </c>
      <c r="D14" s="26" t="n">
        <v>80</v>
      </c>
      <c r="E14" s="19" t="s">
        <v>126</v>
      </c>
    </row>
    <row r="15" customFormat="false" ht="15" hidden="false" customHeight="false" outlineLevel="0" collapsed="false">
      <c r="A15" s="17" t="s">
        <v>125</v>
      </c>
      <c r="B15" s="21" t="n">
        <v>1880</v>
      </c>
      <c r="C15" s="21" t="n">
        <v>41</v>
      </c>
      <c r="D15" s="25" t="n">
        <v>283</v>
      </c>
      <c r="E15" s="17" t="s">
        <v>126</v>
      </c>
    </row>
    <row r="16" customFormat="false" ht="15" hidden="false" customHeight="false" outlineLevel="0" collapsed="false">
      <c r="A16" s="19" t="s">
        <v>125</v>
      </c>
      <c r="B16" s="23" t="n">
        <v>1900</v>
      </c>
      <c r="C16" s="23" t="n">
        <v>29.8</v>
      </c>
      <c r="D16" s="26" t="n">
        <v>1716</v>
      </c>
      <c r="E16" s="19" t="s">
        <v>126</v>
      </c>
    </row>
    <row r="17" customFormat="false" ht="15" hidden="false" customHeight="false" outlineLevel="0" collapsed="false">
      <c r="A17" s="17" t="s">
        <v>125</v>
      </c>
      <c r="B17" s="21" t="n">
        <v>1920</v>
      </c>
      <c r="C17" s="21" t="n">
        <v>20</v>
      </c>
      <c r="D17" s="25" t="n">
        <v>2794</v>
      </c>
      <c r="E17" s="17" t="s">
        <v>126</v>
      </c>
    </row>
    <row r="18" customFormat="false" ht="15" hidden="false" customHeight="false" outlineLevel="0" collapsed="false">
      <c r="A18" s="19" t="s">
        <v>125</v>
      </c>
      <c r="B18" s="23" t="n">
        <v>1940</v>
      </c>
      <c r="C18" s="23" t="n">
        <v>12.8</v>
      </c>
      <c r="D18" s="26" t="n">
        <v>4981</v>
      </c>
      <c r="E18" s="19" t="s">
        <v>126</v>
      </c>
    </row>
    <row r="19" customFormat="false" ht="15" hidden="false" customHeight="false" outlineLevel="0" collapsed="false">
      <c r="A19" s="17" t="s">
        <v>125</v>
      </c>
      <c r="B19" s="21" t="n">
        <v>1960</v>
      </c>
      <c r="C19" s="21" t="n">
        <v>8.2</v>
      </c>
      <c r="D19" s="25" t="n">
        <v>2087</v>
      </c>
      <c r="E19" s="17" t="s">
        <v>126</v>
      </c>
    </row>
    <row r="20" customFormat="false" ht="15" hidden="false" customHeight="false" outlineLevel="0" collapsed="false">
      <c r="A20" s="19" t="s">
        <v>125</v>
      </c>
      <c r="B20" s="23" t="n">
        <v>1980</v>
      </c>
      <c r="C20" s="23" t="n">
        <v>5.7</v>
      </c>
      <c r="D20" s="26" t="n">
        <v>1690</v>
      </c>
      <c r="E20" s="19" t="s">
        <v>126</v>
      </c>
    </row>
    <row r="21" customFormat="false" ht="15" hidden="false" customHeight="false" outlineLevel="0" collapsed="false">
      <c r="A21" s="17" t="s">
        <v>125</v>
      </c>
      <c r="B21" s="21" t="n">
        <v>2000</v>
      </c>
      <c r="C21" s="21" t="n">
        <v>4.1</v>
      </c>
      <c r="D21" s="25" t="n">
        <v>3044</v>
      </c>
      <c r="E21" s="17" t="s">
        <v>126</v>
      </c>
    </row>
    <row r="22" customFormat="false" ht="15" hidden="false" customHeight="false" outlineLevel="0" collapsed="false">
      <c r="A22" s="19" t="s">
        <v>125</v>
      </c>
      <c r="B22" s="23" t="n">
        <v>2020</v>
      </c>
      <c r="C22" s="23" t="n">
        <v>2.85</v>
      </c>
      <c r="D22" s="26" t="n">
        <v>316</v>
      </c>
      <c r="E22" s="19" t="s">
        <v>126</v>
      </c>
    </row>
    <row r="23" customFormat="false" ht="15" hidden="false" customHeight="false" outlineLevel="0" collapsed="false">
      <c r="A23" s="17" t="s">
        <v>125</v>
      </c>
      <c r="B23" s="21" t="n">
        <v>2040</v>
      </c>
      <c r="C23" s="21" t="n">
        <v>2.1</v>
      </c>
      <c r="D23" s="25" t="n">
        <v>255</v>
      </c>
      <c r="E23" s="17" t="s">
        <v>126</v>
      </c>
    </row>
    <row r="24" customFormat="false" ht="15" hidden="false" customHeight="false" outlineLevel="0" collapsed="false">
      <c r="A24" s="19" t="s">
        <v>125</v>
      </c>
      <c r="B24" s="23" t="n">
        <v>2060</v>
      </c>
      <c r="C24" s="23" t="n">
        <v>1.5</v>
      </c>
      <c r="D24" s="26" t="n">
        <v>56</v>
      </c>
      <c r="E24" s="19" t="s">
        <v>126</v>
      </c>
    </row>
    <row r="25" customFormat="false" ht="15" hidden="false" customHeight="false" outlineLevel="0" collapsed="false">
      <c r="A25" s="17" t="s">
        <v>125</v>
      </c>
      <c r="B25" s="21" t="n">
        <v>2080</v>
      </c>
      <c r="C25" s="21" t="n">
        <v>1.55</v>
      </c>
      <c r="D25" s="25" t="n">
        <v>36</v>
      </c>
      <c r="E25" s="17" t="s">
        <v>126</v>
      </c>
    </row>
    <row r="26" customFormat="false" ht="15" hidden="false" customHeight="false" outlineLevel="0" collapsed="false">
      <c r="A26" s="19" t="s">
        <v>125</v>
      </c>
      <c r="B26" s="23" t="n">
        <v>2100</v>
      </c>
      <c r="C26" s="23" t="n">
        <v>1.3</v>
      </c>
      <c r="D26" s="26" t="n">
        <v>117</v>
      </c>
      <c r="E26" s="19" t="s">
        <v>126</v>
      </c>
    </row>
    <row r="27" customFormat="false" ht="15" hidden="false" customHeight="false" outlineLevel="0" collapsed="false">
      <c r="A27" s="17" t="s">
        <v>125</v>
      </c>
      <c r="B27" s="21" t="n">
        <v>2120</v>
      </c>
      <c r="C27" s="21" t="n">
        <v>1</v>
      </c>
      <c r="D27" s="25" t="n">
        <v>18</v>
      </c>
      <c r="E27" s="17" t="s">
        <v>126</v>
      </c>
    </row>
    <row r="28" customFormat="false" ht="15" hidden="false" customHeight="false" outlineLevel="0" collapsed="false">
      <c r="A28" s="19" t="s">
        <v>125</v>
      </c>
      <c r="B28" s="23" t="n">
        <v>2140</v>
      </c>
      <c r="C28" s="23" t="n">
        <v>1</v>
      </c>
      <c r="D28" s="26" t="n">
        <v>1</v>
      </c>
      <c r="E28" s="19" t="s">
        <v>126</v>
      </c>
    </row>
    <row r="29" customFormat="false" ht="15" hidden="false" customHeight="false" outlineLevel="0" collapsed="false">
      <c r="A29" s="17" t="s">
        <v>125</v>
      </c>
      <c r="B29" s="21" t="n">
        <v>2160</v>
      </c>
      <c r="C29" s="21" t="n">
        <v>1</v>
      </c>
      <c r="D29" s="25" t="n">
        <v>0</v>
      </c>
      <c r="E29" s="17" t="s">
        <v>126</v>
      </c>
    </row>
    <row r="30" customFormat="false" ht="15" hidden="false" customHeight="false" outlineLevel="0" collapsed="false">
      <c r="A30" s="19" t="s">
        <v>125</v>
      </c>
      <c r="B30" s="23" t="n">
        <v>2200</v>
      </c>
      <c r="C30" s="23" t="n">
        <v>1</v>
      </c>
      <c r="D30" s="26" t="n">
        <v>31</v>
      </c>
      <c r="E30" s="19" t="s">
        <v>126</v>
      </c>
    </row>
    <row r="31" customFormat="false" ht="15" hidden="false" customHeight="false" outlineLevel="0" collapsed="false">
      <c r="A31" s="17" t="s">
        <v>125</v>
      </c>
      <c r="B31" s="21" t="n">
        <v>2240</v>
      </c>
      <c r="C31" s="21" t="n">
        <v>0.4</v>
      </c>
      <c r="D31" s="25" t="n">
        <v>3</v>
      </c>
      <c r="E31" s="17" t="s">
        <v>126</v>
      </c>
    </row>
    <row r="32" customFormat="false" ht="15" hidden="false" customHeight="false" outlineLevel="0" collapsed="false">
      <c r="A32" s="19" t="s">
        <v>127</v>
      </c>
      <c r="B32" s="23" t="n">
        <v>1680</v>
      </c>
      <c r="C32" s="23" t="n">
        <v>1.8</v>
      </c>
      <c r="D32" s="26" t="n">
        <v>0</v>
      </c>
      <c r="E32" s="19" t="s">
        <v>126</v>
      </c>
    </row>
    <row r="33" customFormat="false" ht="15" hidden="false" customHeight="false" outlineLevel="0" collapsed="false">
      <c r="A33" s="17" t="s">
        <v>127</v>
      </c>
      <c r="B33" s="21" t="n">
        <v>1700</v>
      </c>
      <c r="C33" s="21" t="n">
        <v>0.9</v>
      </c>
      <c r="D33" s="25" t="n">
        <v>0</v>
      </c>
      <c r="E33" s="17" t="s">
        <v>126</v>
      </c>
    </row>
    <row r="34" customFormat="false" ht="15" hidden="false" customHeight="false" outlineLevel="0" collapsed="false">
      <c r="A34" s="19" t="s">
        <v>127</v>
      </c>
      <c r="B34" s="23" t="n">
        <v>1720</v>
      </c>
      <c r="C34" s="23" t="n">
        <v>0.7</v>
      </c>
      <c r="D34" s="26" t="n">
        <v>1</v>
      </c>
      <c r="E34" s="19" t="s">
        <v>126</v>
      </c>
    </row>
    <row r="35" customFormat="false" ht="15" hidden="false" customHeight="false" outlineLevel="0" collapsed="false">
      <c r="A35" s="17" t="s">
        <v>127</v>
      </c>
      <c r="B35" s="21" t="n">
        <v>1740</v>
      </c>
      <c r="C35" s="21" t="n">
        <v>1</v>
      </c>
      <c r="D35" s="25" t="n">
        <v>4</v>
      </c>
      <c r="E35" s="17" t="s">
        <v>126</v>
      </c>
    </row>
    <row r="36" customFormat="false" ht="15" hidden="false" customHeight="false" outlineLevel="0" collapsed="false">
      <c r="A36" s="19" t="s">
        <v>127</v>
      </c>
      <c r="B36" s="23" t="n">
        <v>1760</v>
      </c>
      <c r="C36" s="23" t="n">
        <v>1.65</v>
      </c>
      <c r="D36" s="26" t="n">
        <v>3</v>
      </c>
      <c r="E36" s="19" t="s">
        <v>126</v>
      </c>
    </row>
    <row r="37" customFormat="false" ht="15" hidden="false" customHeight="false" outlineLevel="0" collapsed="false">
      <c r="A37" s="17" t="s">
        <v>127</v>
      </c>
      <c r="B37" s="21" t="n">
        <v>1780</v>
      </c>
      <c r="C37" s="21" t="n">
        <v>2.4</v>
      </c>
      <c r="D37" s="25" t="n">
        <v>121</v>
      </c>
      <c r="E37" s="17" t="s">
        <v>126</v>
      </c>
    </row>
    <row r="38" customFormat="false" ht="15" hidden="false" customHeight="false" outlineLevel="0" collapsed="false">
      <c r="A38" s="19" t="s">
        <v>127</v>
      </c>
      <c r="B38" s="23" t="n">
        <v>1800</v>
      </c>
      <c r="C38" s="23" t="n">
        <v>3.7</v>
      </c>
      <c r="D38" s="26" t="n">
        <v>1053</v>
      </c>
      <c r="E38" s="19" t="s">
        <v>126</v>
      </c>
    </row>
    <row r="39" customFormat="false" ht="15" hidden="false" customHeight="false" outlineLevel="0" collapsed="false">
      <c r="A39" s="17" t="s">
        <v>127</v>
      </c>
      <c r="B39" s="21" t="n">
        <v>1820</v>
      </c>
      <c r="C39" s="21" t="n">
        <v>5.1</v>
      </c>
      <c r="D39" s="25" t="n">
        <v>574</v>
      </c>
      <c r="E39" s="17" t="s">
        <v>126</v>
      </c>
    </row>
    <row r="40" customFormat="false" ht="15" hidden="false" customHeight="false" outlineLevel="0" collapsed="false">
      <c r="A40" s="19" t="s">
        <v>127</v>
      </c>
      <c r="B40" s="23" t="n">
        <v>1840</v>
      </c>
      <c r="C40" s="23" t="n">
        <v>7.6</v>
      </c>
      <c r="D40" s="26" t="n">
        <v>330</v>
      </c>
      <c r="E40" s="19" t="s">
        <v>126</v>
      </c>
    </row>
    <row r="41" customFormat="false" ht="15" hidden="false" customHeight="false" outlineLevel="0" collapsed="false">
      <c r="A41" s="17" t="s">
        <v>127</v>
      </c>
      <c r="B41" s="21" t="n">
        <v>1860</v>
      </c>
      <c r="C41" s="21" t="n">
        <v>11.5</v>
      </c>
      <c r="D41" s="25" t="n">
        <v>693</v>
      </c>
      <c r="E41" s="17" t="s">
        <v>126</v>
      </c>
    </row>
    <row r="42" customFormat="false" ht="15" hidden="false" customHeight="false" outlineLevel="0" collapsed="false">
      <c r="A42" s="19" t="s">
        <v>127</v>
      </c>
      <c r="B42" s="23" t="n">
        <v>1880</v>
      </c>
      <c r="C42" s="23" t="n">
        <v>17.35</v>
      </c>
      <c r="D42" s="26" t="n">
        <v>1109</v>
      </c>
      <c r="E42" s="19" t="s">
        <v>126</v>
      </c>
    </row>
    <row r="43" customFormat="false" ht="15" hidden="false" customHeight="false" outlineLevel="0" collapsed="false">
      <c r="A43" s="17" t="s">
        <v>127</v>
      </c>
      <c r="B43" s="21" t="n">
        <v>1900</v>
      </c>
      <c r="C43" s="21" t="n">
        <v>25.25</v>
      </c>
      <c r="D43" s="25" t="n">
        <v>1866</v>
      </c>
      <c r="E43" s="17" t="s">
        <v>126</v>
      </c>
    </row>
    <row r="44" customFormat="false" ht="15" hidden="false" customHeight="false" outlineLevel="0" collapsed="false">
      <c r="A44" s="19" t="s">
        <v>127</v>
      </c>
      <c r="B44" s="23" t="n">
        <v>1920</v>
      </c>
      <c r="C44" s="23" t="n">
        <v>35.6</v>
      </c>
      <c r="D44" s="26" t="n">
        <v>2265</v>
      </c>
      <c r="E44" s="19" t="s">
        <v>126</v>
      </c>
    </row>
    <row r="45" customFormat="false" ht="15" hidden="false" customHeight="false" outlineLevel="0" collapsed="false">
      <c r="A45" s="17" t="s">
        <v>127</v>
      </c>
      <c r="B45" s="21" t="n">
        <v>1940</v>
      </c>
      <c r="C45" s="21" t="n">
        <v>48.55</v>
      </c>
      <c r="D45" s="25" t="n">
        <v>474</v>
      </c>
      <c r="E45" s="17" t="s">
        <v>126</v>
      </c>
    </row>
    <row r="46" customFormat="false" ht="15" hidden="false" customHeight="false" outlineLevel="0" collapsed="false">
      <c r="A46" s="19" t="s">
        <v>127</v>
      </c>
      <c r="B46" s="23" t="n">
        <v>1960</v>
      </c>
      <c r="C46" s="23" t="n">
        <v>64.8</v>
      </c>
      <c r="D46" s="26" t="n">
        <v>129</v>
      </c>
      <c r="E46" s="19" t="s">
        <v>126</v>
      </c>
    </row>
    <row r="47" customFormat="false" ht="15" hidden="false" customHeight="false" outlineLevel="0" collapsed="false">
      <c r="A47" s="17" t="s">
        <v>127</v>
      </c>
      <c r="B47" s="21" t="n">
        <v>1980</v>
      </c>
      <c r="C47" s="21" t="n">
        <v>77.35</v>
      </c>
      <c r="D47" s="25" t="n">
        <v>11</v>
      </c>
      <c r="E47" s="17" t="s">
        <v>126</v>
      </c>
    </row>
    <row r="48" customFormat="false" ht="15" hidden="false" customHeight="false" outlineLevel="0" collapsed="false">
      <c r="A48" s="19" t="s">
        <v>127</v>
      </c>
      <c r="B48" s="23" t="n">
        <v>2000</v>
      </c>
      <c r="C48" s="23" t="n">
        <v>95.15</v>
      </c>
      <c r="D48" s="26" t="n">
        <v>29</v>
      </c>
      <c r="E48" s="19" t="s">
        <v>126</v>
      </c>
    </row>
    <row r="49" customFormat="false" ht="15" hidden="false" customHeight="false" outlineLevel="0" collapsed="false">
      <c r="A49" s="17" t="s">
        <v>127</v>
      </c>
      <c r="B49" s="21" t="n">
        <v>2020</v>
      </c>
      <c r="C49" s="21" t="n">
        <v>116.55</v>
      </c>
      <c r="D49" s="25" t="n">
        <v>4</v>
      </c>
      <c r="E49" s="17" t="s">
        <v>126</v>
      </c>
    </row>
    <row r="50" customFormat="false" ht="15" hidden="false" customHeight="false" outlineLevel="0" collapsed="false">
      <c r="A50" s="19" t="s">
        <v>127</v>
      </c>
      <c r="B50" s="23" t="n">
        <v>2040</v>
      </c>
      <c r="C50" s="23" t="n">
        <v>111.6</v>
      </c>
      <c r="D50" s="26" t="n">
        <v>0</v>
      </c>
      <c r="E50" s="19" t="s">
        <v>126</v>
      </c>
    </row>
    <row r="51" customFormat="false" ht="15" hidden="false" customHeight="false" outlineLevel="0" collapsed="false">
      <c r="A51" s="17" t="s">
        <v>127</v>
      </c>
      <c r="B51" s="21" t="n">
        <v>2060</v>
      </c>
      <c r="C51" s="21" t="n">
        <v>153</v>
      </c>
      <c r="D51" s="25" t="n">
        <v>1</v>
      </c>
      <c r="E51" s="17" t="s">
        <v>126</v>
      </c>
    </row>
    <row r="52" customFormat="false" ht="15" hidden="false" customHeight="false" outlineLevel="0" collapsed="false">
      <c r="A52" s="19" t="s">
        <v>127</v>
      </c>
      <c r="B52" s="23" t="n">
        <v>2100</v>
      </c>
      <c r="C52" s="23" t="n">
        <v>165</v>
      </c>
      <c r="D52" s="26" t="n">
        <v>0</v>
      </c>
      <c r="E52" s="19" t="s">
        <v>126</v>
      </c>
    </row>
    <row r="53" customFormat="false" ht="15" hidden="false" customHeight="false" outlineLevel="0" collapsed="false">
      <c r="A53" s="17" t="s">
        <v>127</v>
      </c>
      <c r="B53" s="21" t="n">
        <v>2120</v>
      </c>
      <c r="C53" s="21" t="n">
        <v>195</v>
      </c>
      <c r="D53" s="25" t="n">
        <v>0</v>
      </c>
      <c r="E53" s="17" t="s">
        <v>126</v>
      </c>
    </row>
    <row r="54" customFormat="false" ht="15" hidden="false" customHeight="false" outlineLevel="0" collapsed="false">
      <c r="A54" s="19" t="s">
        <v>127</v>
      </c>
      <c r="B54" s="23" t="n">
        <v>2140</v>
      </c>
      <c r="C54" s="23" t="n">
        <v>235</v>
      </c>
      <c r="D54" s="26" t="n">
        <v>0</v>
      </c>
      <c r="E54" s="19" t="s">
        <v>126</v>
      </c>
    </row>
    <row r="55" customFormat="false" ht="15" hidden="false" customHeight="false" outlineLevel="0" collapsed="false">
      <c r="A55" s="17" t="s">
        <v>125</v>
      </c>
      <c r="B55" s="21" t="n">
        <v>1900</v>
      </c>
      <c r="C55" s="21" t="n">
        <v>51</v>
      </c>
      <c r="D55" s="25" t="n">
        <v>28</v>
      </c>
      <c r="E55" s="17" t="s">
        <v>128</v>
      </c>
    </row>
    <row r="56" customFormat="false" ht="15" hidden="false" customHeight="false" outlineLevel="0" collapsed="false">
      <c r="A56" s="19" t="s">
        <v>125</v>
      </c>
      <c r="B56" s="23" t="n">
        <v>1920</v>
      </c>
      <c r="C56" s="23" t="n">
        <v>70</v>
      </c>
      <c r="D56" s="26" t="n">
        <v>0</v>
      </c>
      <c r="E56" s="19" t="s">
        <v>128</v>
      </c>
    </row>
    <row r="57" customFormat="false" ht="15" hidden="false" customHeight="false" outlineLevel="0" collapsed="false">
      <c r="A57" s="17" t="s">
        <v>125</v>
      </c>
      <c r="B57" s="21" t="n">
        <v>1940</v>
      </c>
      <c r="C57" s="21" t="n">
        <v>30.6</v>
      </c>
      <c r="D57" s="25" t="n">
        <v>5</v>
      </c>
      <c r="E57" s="17" t="s">
        <v>128</v>
      </c>
    </row>
    <row r="58" customFormat="false" ht="15" hidden="false" customHeight="false" outlineLevel="0" collapsed="false">
      <c r="A58" s="19" t="s">
        <v>125</v>
      </c>
      <c r="B58" s="23" t="n">
        <v>1960</v>
      </c>
      <c r="C58" s="23" t="n">
        <v>36</v>
      </c>
      <c r="D58" s="26" t="n">
        <v>0</v>
      </c>
      <c r="E58" s="19" t="s">
        <v>128</v>
      </c>
    </row>
    <row r="59" customFormat="false" ht="15" hidden="false" customHeight="false" outlineLevel="0" collapsed="false">
      <c r="A59" s="17" t="s">
        <v>125</v>
      </c>
      <c r="B59" s="21" t="n">
        <v>2000</v>
      </c>
      <c r="C59" s="21" t="n">
        <v>14.25</v>
      </c>
      <c r="D59" s="25" t="n">
        <v>57</v>
      </c>
      <c r="E59" s="17" t="s">
        <v>128</v>
      </c>
    </row>
    <row r="60" customFormat="false" ht="15" hidden="false" customHeight="false" outlineLevel="0" collapsed="false">
      <c r="A60" s="19" t="s">
        <v>125</v>
      </c>
      <c r="B60" s="23" t="n">
        <v>2020</v>
      </c>
      <c r="C60" s="23" t="n">
        <v>11.3</v>
      </c>
      <c r="D60" s="26" t="n">
        <v>10</v>
      </c>
      <c r="E60" s="19" t="s">
        <v>128</v>
      </c>
    </row>
    <row r="61" customFormat="false" ht="15" hidden="false" customHeight="false" outlineLevel="0" collapsed="false">
      <c r="A61" s="17" t="s">
        <v>125</v>
      </c>
      <c r="B61" s="21" t="n">
        <v>2040</v>
      </c>
      <c r="C61" s="21" t="n">
        <v>14.35</v>
      </c>
      <c r="D61" s="25" t="n">
        <v>1</v>
      </c>
      <c r="E61" s="17" t="s">
        <v>128</v>
      </c>
    </row>
    <row r="62" customFormat="false" ht="15" hidden="false" customHeight="false" outlineLevel="0" collapsed="false">
      <c r="A62" s="19" t="s">
        <v>125</v>
      </c>
      <c r="B62" s="23" t="n">
        <v>2060</v>
      </c>
      <c r="C62" s="23" t="n">
        <v>14.5</v>
      </c>
      <c r="D62" s="26" t="n">
        <v>0</v>
      </c>
      <c r="E62" s="19" t="s">
        <v>128</v>
      </c>
    </row>
    <row r="63" customFormat="false" ht="15" hidden="false" customHeight="false" outlineLevel="0" collapsed="false">
      <c r="A63" s="17" t="s">
        <v>125</v>
      </c>
      <c r="B63" s="21" t="n">
        <v>2200</v>
      </c>
      <c r="C63" s="21" t="n">
        <v>2.5</v>
      </c>
      <c r="D63" s="25" t="n">
        <v>2</v>
      </c>
      <c r="E63" s="17" t="s">
        <v>128</v>
      </c>
    </row>
    <row r="64" customFormat="false" ht="15" hidden="false" customHeight="false" outlineLevel="0" collapsed="false">
      <c r="A64" s="19" t="s">
        <v>127</v>
      </c>
      <c r="B64" s="23" t="n">
        <v>1800</v>
      </c>
      <c r="C64" s="23" t="n">
        <v>10.55</v>
      </c>
      <c r="D64" s="26" t="n">
        <v>10</v>
      </c>
      <c r="E64" s="19" t="s">
        <v>128</v>
      </c>
    </row>
    <row r="65" customFormat="false" ht="15" hidden="false" customHeight="false" outlineLevel="0" collapsed="false">
      <c r="A65" s="17" t="s">
        <v>127</v>
      </c>
      <c r="B65" s="21" t="n">
        <v>1840</v>
      </c>
      <c r="C65" s="21" t="n">
        <v>12</v>
      </c>
      <c r="D65" s="25" t="n">
        <v>0</v>
      </c>
      <c r="E65" s="17" t="s">
        <v>128</v>
      </c>
    </row>
    <row r="66" customFormat="false" ht="15" hidden="false" customHeight="false" outlineLevel="0" collapsed="false">
      <c r="A66" s="19" t="s">
        <v>127</v>
      </c>
      <c r="B66" s="23" t="n">
        <v>1860</v>
      </c>
      <c r="C66" s="23" t="n">
        <v>20.2</v>
      </c>
      <c r="D66" s="26" t="n">
        <v>0</v>
      </c>
      <c r="E66" s="19" t="s">
        <v>128</v>
      </c>
    </row>
    <row r="67" customFormat="false" ht="15" hidden="false" customHeight="false" outlineLevel="0" collapsed="false">
      <c r="A67" s="17" t="s">
        <v>127</v>
      </c>
      <c r="B67" s="21" t="n">
        <v>1900</v>
      </c>
      <c r="C67" s="21" t="n">
        <v>28</v>
      </c>
      <c r="D67" s="25" t="n">
        <v>0</v>
      </c>
      <c r="E67" s="17" t="s">
        <v>128</v>
      </c>
    </row>
    <row r="68" customFormat="false" ht="15" hidden="false" customHeight="false" outlineLevel="0" collapsed="false">
      <c r="A68" s="19" t="s">
        <v>127</v>
      </c>
      <c r="B68" s="23" t="n">
        <v>1920</v>
      </c>
      <c r="C68" s="23" t="n">
        <v>36</v>
      </c>
      <c r="D68" s="26" t="n">
        <v>0</v>
      </c>
      <c r="E68" s="19" t="s">
        <v>128</v>
      </c>
    </row>
    <row r="69" customFormat="false" ht="15" hidden="false" customHeight="false" outlineLevel="0" collapsed="false">
      <c r="A69" s="17" t="s">
        <v>127</v>
      </c>
      <c r="B69" s="21" t="n">
        <v>1940</v>
      </c>
      <c r="C69" s="21" t="n">
        <v>49</v>
      </c>
      <c r="D69" s="25" t="n">
        <v>0</v>
      </c>
      <c r="E69" s="17" t="s">
        <v>128</v>
      </c>
    </row>
    <row r="70" customFormat="false" ht="15" hidden="false" customHeight="false" outlineLevel="0" collapsed="false">
      <c r="A70" s="19" t="s">
        <v>127</v>
      </c>
      <c r="B70" s="23" t="n">
        <v>1960</v>
      </c>
      <c r="C70" s="23" t="n">
        <v>54</v>
      </c>
      <c r="D70" s="26" t="n">
        <v>0</v>
      </c>
      <c r="E70" s="19" t="s">
        <v>128</v>
      </c>
    </row>
    <row r="71" customFormat="false" ht="15" hidden="false" customHeight="false" outlineLevel="0" collapsed="false">
      <c r="A71" s="17" t="s">
        <v>127</v>
      </c>
      <c r="B71" s="21" t="n">
        <v>2000</v>
      </c>
      <c r="C71" s="21" t="n">
        <v>75</v>
      </c>
      <c r="D71" s="25" t="n">
        <v>0</v>
      </c>
      <c r="E71" s="17" t="s">
        <v>128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2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8" min="7" style="0" width="14"/>
  </cols>
  <sheetData>
    <row r="1" customFormat="false" ht="17.35" hidden="false" customHeight="false" outlineLevel="0" collapsed="false">
      <c r="A1" s="1" t="s">
        <v>129</v>
      </c>
    </row>
    <row r="2" customFormat="false" ht="15" hidden="false" customHeight="false" outlineLevel="0" collapsed="false">
      <c r="A2" s="2" t="s">
        <v>130</v>
      </c>
    </row>
    <row r="4" customFormat="false" ht="23.85" hidden="false" customHeight="false" outlineLevel="0" collapsed="false">
      <c r="A4" s="16" t="s">
        <v>120</v>
      </c>
      <c r="B4" s="16" t="s">
        <v>121</v>
      </c>
      <c r="C4" s="16" t="s">
        <v>122</v>
      </c>
      <c r="D4" s="16" t="s">
        <v>123</v>
      </c>
      <c r="E4" s="16" t="s">
        <v>124</v>
      </c>
      <c r="F4" s="16" t="s">
        <v>131</v>
      </c>
      <c r="G4" s="16" t="s">
        <v>132</v>
      </c>
      <c r="H4" s="16" t="s">
        <v>133</v>
      </c>
    </row>
    <row r="5" customFormat="false" ht="15" hidden="false" customHeight="false" outlineLevel="0" collapsed="false">
      <c r="A5" s="17" t="s">
        <v>125</v>
      </c>
      <c r="B5" s="21" t="n">
        <v>1640</v>
      </c>
      <c r="C5" s="21" t="n">
        <v>279.15</v>
      </c>
      <c r="D5" s="25" t="n">
        <v>0</v>
      </c>
      <c r="E5" s="17" t="s">
        <v>126</v>
      </c>
      <c r="F5" s="27" t="n">
        <v>0.0767123287671232</v>
      </c>
      <c r="G5" s="28" t="n">
        <v>28</v>
      </c>
      <c r="H5" s="29" t="n">
        <v>0.485662779470543</v>
      </c>
    </row>
    <row r="6" customFormat="false" ht="15" hidden="false" customHeight="false" outlineLevel="0" collapsed="false">
      <c r="A6" s="19" t="s">
        <v>125</v>
      </c>
      <c r="B6" s="23" t="n">
        <v>1740</v>
      </c>
      <c r="C6" s="23" t="n">
        <v>168</v>
      </c>
      <c r="D6" s="26" t="n">
        <v>4</v>
      </c>
      <c r="E6" s="19" t="s">
        <v>126</v>
      </c>
      <c r="F6" s="30" t="n">
        <v>0.0767123287671232</v>
      </c>
      <c r="G6" s="31" t="n">
        <v>28</v>
      </c>
      <c r="H6" s="32" t="n">
        <v>0.23165442856623</v>
      </c>
    </row>
    <row r="7" customFormat="false" ht="15" hidden="false" customHeight="false" outlineLevel="0" collapsed="false">
      <c r="A7" s="17" t="s">
        <v>125</v>
      </c>
      <c r="B7" s="21" t="n">
        <v>1760</v>
      </c>
      <c r="C7" s="21" t="n">
        <v>146.5</v>
      </c>
      <c r="D7" s="25" t="n">
        <v>0</v>
      </c>
      <c r="E7" s="17" t="s">
        <v>126</v>
      </c>
      <c r="F7" s="27" t="n">
        <v>0.0767123287671232</v>
      </c>
      <c r="G7" s="28" t="n">
        <v>28</v>
      </c>
      <c r="H7" s="29" t="n">
        <v>0.186436559764384</v>
      </c>
    </row>
    <row r="8" customFormat="false" ht="15" hidden="false" customHeight="false" outlineLevel="0" collapsed="false">
      <c r="A8" s="19" t="s">
        <v>125</v>
      </c>
      <c r="B8" s="23" t="n">
        <v>1780</v>
      </c>
      <c r="C8" s="23" t="n">
        <v>151</v>
      </c>
      <c r="D8" s="26" t="n">
        <v>0</v>
      </c>
      <c r="E8" s="19" t="s">
        <v>126</v>
      </c>
      <c r="F8" s="30" t="n">
        <v>0.0767123287671232</v>
      </c>
      <c r="G8" s="31" t="n">
        <v>28</v>
      </c>
      <c r="H8" s="32" t="n">
        <v>0.359650567757522</v>
      </c>
    </row>
    <row r="9" customFormat="false" ht="15" hidden="false" customHeight="false" outlineLevel="0" collapsed="false">
      <c r="A9" s="17" t="s">
        <v>125</v>
      </c>
      <c r="B9" s="21" t="n">
        <v>1800</v>
      </c>
      <c r="C9" s="21" t="n">
        <v>106.6</v>
      </c>
      <c r="D9" s="25" t="n">
        <v>29</v>
      </c>
      <c r="E9" s="17" t="s">
        <v>126</v>
      </c>
      <c r="F9" s="27" t="n">
        <v>0.0767123287671232</v>
      </c>
      <c r="G9" s="28" t="n">
        <v>28</v>
      </c>
      <c r="H9" s="29" t="n">
        <v>0.142390209383854</v>
      </c>
    </row>
    <row r="10" customFormat="false" ht="15" hidden="false" customHeight="false" outlineLevel="0" collapsed="false">
      <c r="A10" s="19" t="s">
        <v>125</v>
      </c>
      <c r="B10" s="23" t="n">
        <v>1820</v>
      </c>
      <c r="C10" s="23" t="n">
        <v>92.8</v>
      </c>
      <c r="D10" s="26" t="n">
        <v>25</v>
      </c>
      <c r="E10" s="19" t="s">
        <v>126</v>
      </c>
      <c r="F10" s="30" t="n">
        <v>0.0767123287671232</v>
      </c>
      <c r="G10" s="31" t="n">
        <v>28</v>
      </c>
      <c r="H10" s="32" t="n">
        <v>0.176284762143971</v>
      </c>
    </row>
    <row r="11" customFormat="false" ht="15" hidden="false" customHeight="false" outlineLevel="0" collapsed="false">
      <c r="A11" s="17" t="s">
        <v>125</v>
      </c>
      <c r="B11" s="21" t="n">
        <v>1840</v>
      </c>
      <c r="C11" s="21" t="n">
        <v>70.6</v>
      </c>
      <c r="D11" s="25" t="n">
        <v>50</v>
      </c>
      <c r="E11" s="17" t="s">
        <v>126</v>
      </c>
      <c r="F11" s="27" t="n">
        <v>0.0767123287671232</v>
      </c>
      <c r="G11" s="28" t="n">
        <v>28</v>
      </c>
      <c r="H11" s="29" t="n">
        <v>0.13183856314672</v>
      </c>
    </row>
    <row r="12" customFormat="false" ht="15" hidden="false" customHeight="false" outlineLevel="0" collapsed="false">
      <c r="A12" s="19" t="s">
        <v>125</v>
      </c>
      <c r="B12" s="23" t="n">
        <v>1860</v>
      </c>
      <c r="C12" s="23" t="n">
        <v>54.9</v>
      </c>
      <c r="D12" s="26" t="n">
        <v>80</v>
      </c>
      <c r="E12" s="19" t="s">
        <v>126</v>
      </c>
      <c r="F12" s="30" t="n">
        <v>0.0767123287671232</v>
      </c>
      <c r="G12" s="31" t="n">
        <v>28</v>
      </c>
      <c r="H12" s="32" t="n">
        <v>0.130918632694489</v>
      </c>
    </row>
    <row r="13" customFormat="false" ht="15" hidden="false" customHeight="false" outlineLevel="0" collapsed="false">
      <c r="A13" s="17" t="s">
        <v>125</v>
      </c>
      <c r="B13" s="21" t="n">
        <v>1880</v>
      </c>
      <c r="C13" s="21" t="n">
        <v>41</v>
      </c>
      <c r="D13" s="25" t="n">
        <v>283</v>
      </c>
      <c r="E13" s="17" t="s">
        <v>126</v>
      </c>
      <c r="F13" s="27" t="n">
        <v>0.0767123287671232</v>
      </c>
      <c r="G13" s="28" t="n">
        <v>28</v>
      </c>
      <c r="H13" s="29" t="n">
        <v>0.129714859795725</v>
      </c>
    </row>
    <row r="14" customFormat="false" ht="15" hidden="false" customHeight="false" outlineLevel="0" collapsed="false">
      <c r="A14" s="19" t="s">
        <v>125</v>
      </c>
      <c r="B14" s="23" t="n">
        <v>1900</v>
      </c>
      <c r="C14" s="23" t="n">
        <v>29.8</v>
      </c>
      <c r="D14" s="26" t="n">
        <v>1716</v>
      </c>
      <c r="E14" s="19" t="s">
        <v>126</v>
      </c>
      <c r="F14" s="30" t="n">
        <v>0.0767123287671232</v>
      </c>
      <c r="G14" s="31" t="n">
        <v>28</v>
      </c>
      <c r="H14" s="32" t="n">
        <v>0.131146101838067</v>
      </c>
    </row>
    <row r="15" customFormat="false" ht="15" hidden="false" customHeight="false" outlineLevel="0" collapsed="false">
      <c r="A15" s="17" t="s">
        <v>125</v>
      </c>
      <c r="B15" s="21" t="n">
        <v>1920</v>
      </c>
      <c r="C15" s="21" t="n">
        <v>20</v>
      </c>
      <c r="D15" s="25" t="n">
        <v>2794</v>
      </c>
      <c r="E15" s="17" t="s">
        <v>126</v>
      </c>
      <c r="F15" s="27" t="n">
        <v>0.0767123287671232</v>
      </c>
      <c r="G15" s="28" t="n">
        <v>28</v>
      </c>
      <c r="H15" s="29" t="n">
        <v>0.128204951417686</v>
      </c>
    </row>
    <row r="16" customFormat="false" ht="15" hidden="false" customHeight="false" outlineLevel="0" collapsed="false">
      <c r="A16" s="19" t="s">
        <v>125</v>
      </c>
      <c r="B16" s="23" t="n">
        <v>1940</v>
      </c>
      <c r="C16" s="23" t="n">
        <v>12.8</v>
      </c>
      <c r="D16" s="26" t="n">
        <v>4981</v>
      </c>
      <c r="E16" s="19" t="s">
        <v>126</v>
      </c>
      <c r="F16" s="30" t="n">
        <v>0.0767123287671232</v>
      </c>
      <c r="G16" s="31" t="n">
        <v>28</v>
      </c>
      <c r="H16" s="32" t="n">
        <v>0.126797527625325</v>
      </c>
    </row>
    <row r="17" customFormat="false" ht="15" hidden="false" customHeight="false" outlineLevel="0" collapsed="false">
      <c r="A17" s="17" t="s">
        <v>125</v>
      </c>
      <c r="B17" s="21" t="n">
        <v>1960</v>
      </c>
      <c r="C17" s="21" t="n">
        <v>8.2</v>
      </c>
      <c r="D17" s="25" t="n">
        <v>2087</v>
      </c>
      <c r="E17" s="17" t="s">
        <v>126</v>
      </c>
      <c r="F17" s="27" t="n">
        <v>0.0767123287671232</v>
      </c>
      <c r="G17" s="28" t="n">
        <v>28</v>
      </c>
      <c r="H17" s="29" t="n">
        <v>0.128810032867532</v>
      </c>
    </row>
    <row r="18" customFormat="false" ht="15" hidden="false" customHeight="false" outlineLevel="0" collapsed="false">
      <c r="A18" s="19" t="s">
        <v>125</v>
      </c>
      <c r="B18" s="23" t="n">
        <v>1980</v>
      </c>
      <c r="C18" s="23" t="n">
        <v>5.7</v>
      </c>
      <c r="D18" s="26" t="n">
        <v>1690</v>
      </c>
      <c r="E18" s="19" t="s">
        <v>126</v>
      </c>
      <c r="F18" s="30" t="n">
        <v>0.0767123287671232</v>
      </c>
      <c r="G18" s="31" t="n">
        <v>28</v>
      </c>
      <c r="H18" s="32" t="n">
        <v>0.135810819004177</v>
      </c>
    </row>
    <row r="19" customFormat="false" ht="15" hidden="false" customHeight="false" outlineLevel="0" collapsed="false">
      <c r="A19" s="17" t="s">
        <v>125</v>
      </c>
      <c r="B19" s="21" t="n">
        <v>2000</v>
      </c>
      <c r="C19" s="21" t="n">
        <v>4.1</v>
      </c>
      <c r="D19" s="25" t="n">
        <v>3044</v>
      </c>
      <c r="E19" s="17" t="s">
        <v>126</v>
      </c>
      <c r="F19" s="27" t="n">
        <v>0.0767123287671232</v>
      </c>
      <c r="G19" s="28" t="n">
        <v>28</v>
      </c>
      <c r="H19" s="29" t="n">
        <v>0.14372507995436</v>
      </c>
    </row>
    <row r="20" customFormat="false" ht="15" hidden="false" customHeight="false" outlineLevel="0" collapsed="false">
      <c r="A20" s="19" t="s">
        <v>125</v>
      </c>
      <c r="B20" s="23" t="n">
        <v>2020</v>
      </c>
      <c r="C20" s="23" t="n">
        <v>2.85</v>
      </c>
      <c r="D20" s="26" t="n">
        <v>316</v>
      </c>
      <c r="E20" s="19" t="s">
        <v>126</v>
      </c>
      <c r="F20" s="30" t="n">
        <v>0.0767123287671232</v>
      </c>
      <c r="G20" s="31" t="n">
        <v>28</v>
      </c>
      <c r="H20" s="32" t="n">
        <v>0.149702507138139</v>
      </c>
    </row>
    <row r="21" customFormat="false" ht="15" hidden="false" customHeight="false" outlineLevel="0" collapsed="false">
      <c r="A21" s="17" t="s">
        <v>125</v>
      </c>
      <c r="B21" s="21" t="n">
        <v>2040</v>
      </c>
      <c r="C21" s="21" t="n">
        <v>2.1</v>
      </c>
      <c r="D21" s="25" t="n">
        <v>255</v>
      </c>
      <c r="E21" s="17" t="s">
        <v>126</v>
      </c>
      <c r="F21" s="27" t="n">
        <v>0.0767123287671232</v>
      </c>
      <c r="G21" s="28" t="n">
        <v>28</v>
      </c>
      <c r="H21" s="29" t="n">
        <v>0.157273672047953</v>
      </c>
    </row>
    <row r="22" customFormat="false" ht="15" hidden="false" customHeight="false" outlineLevel="0" collapsed="false">
      <c r="A22" s="19" t="s">
        <v>125</v>
      </c>
      <c r="B22" s="23" t="n">
        <v>2060</v>
      </c>
      <c r="C22" s="23" t="n">
        <v>1.5</v>
      </c>
      <c r="D22" s="26" t="n">
        <v>56</v>
      </c>
      <c r="E22" s="19" t="s">
        <v>126</v>
      </c>
      <c r="F22" s="30" t="n">
        <v>0.0767123287671232</v>
      </c>
      <c r="G22" s="31" t="n">
        <v>28</v>
      </c>
      <c r="H22" s="32" t="n">
        <v>0.163279921172807</v>
      </c>
    </row>
    <row r="23" customFormat="false" ht="15" hidden="false" customHeight="false" outlineLevel="0" collapsed="false">
      <c r="A23" s="17" t="s">
        <v>125</v>
      </c>
      <c r="B23" s="21" t="n">
        <v>2080</v>
      </c>
      <c r="C23" s="21" t="n">
        <v>1.55</v>
      </c>
      <c r="D23" s="25" t="n">
        <v>36</v>
      </c>
      <c r="E23" s="17" t="s">
        <v>126</v>
      </c>
      <c r="F23" s="27" t="n">
        <v>0.0767123287671232</v>
      </c>
      <c r="G23" s="28" t="n">
        <v>28</v>
      </c>
      <c r="H23" s="29" t="n">
        <v>0.180388404444531</v>
      </c>
    </row>
    <row r="24" customFormat="false" ht="15" hidden="false" customHeight="false" outlineLevel="0" collapsed="false">
      <c r="A24" s="19" t="s">
        <v>125</v>
      </c>
      <c r="B24" s="23" t="n">
        <v>2100</v>
      </c>
      <c r="C24" s="23" t="n">
        <v>1.3</v>
      </c>
      <c r="D24" s="26" t="n">
        <v>117</v>
      </c>
      <c r="E24" s="19" t="s">
        <v>126</v>
      </c>
      <c r="F24" s="30" t="n">
        <v>0.0767123287671232</v>
      </c>
      <c r="G24" s="31" t="n">
        <v>28</v>
      </c>
      <c r="H24" s="32" t="n">
        <v>0.190045170627939</v>
      </c>
    </row>
    <row r="25" customFormat="false" ht="15" hidden="false" customHeight="false" outlineLevel="0" collapsed="false">
      <c r="A25" s="17" t="s">
        <v>125</v>
      </c>
      <c r="B25" s="21" t="n">
        <v>2120</v>
      </c>
      <c r="C25" s="21" t="n">
        <v>1</v>
      </c>
      <c r="D25" s="25" t="n">
        <v>18</v>
      </c>
      <c r="E25" s="17" t="s">
        <v>126</v>
      </c>
      <c r="F25" s="27" t="n">
        <v>0.0767123287671232</v>
      </c>
      <c r="G25" s="28" t="n">
        <v>28</v>
      </c>
      <c r="H25" s="29" t="n">
        <v>0.196333805491332</v>
      </c>
    </row>
    <row r="26" customFormat="false" ht="15" hidden="false" customHeight="false" outlineLevel="0" collapsed="false">
      <c r="A26" s="19" t="s">
        <v>125</v>
      </c>
      <c r="B26" s="23" t="n">
        <v>2140</v>
      </c>
      <c r="C26" s="23" t="n">
        <v>1</v>
      </c>
      <c r="D26" s="26" t="n">
        <v>1</v>
      </c>
      <c r="E26" s="19" t="s">
        <v>126</v>
      </c>
      <c r="F26" s="30" t="n">
        <v>0.0767123287671232</v>
      </c>
      <c r="G26" s="31" t="n">
        <v>28</v>
      </c>
      <c r="H26" s="32" t="n">
        <v>0.210553883950731</v>
      </c>
    </row>
    <row r="27" customFormat="false" ht="15" hidden="false" customHeight="false" outlineLevel="0" collapsed="false">
      <c r="A27" s="17" t="s">
        <v>125</v>
      </c>
      <c r="B27" s="21" t="n">
        <v>2160</v>
      </c>
      <c r="C27" s="21" t="n">
        <v>1</v>
      </c>
      <c r="D27" s="25" t="n">
        <v>0</v>
      </c>
      <c r="E27" s="17" t="s">
        <v>126</v>
      </c>
      <c r="F27" s="27" t="n">
        <v>0.0767123287671232</v>
      </c>
      <c r="G27" s="28" t="n">
        <v>28</v>
      </c>
      <c r="H27" s="29" t="n">
        <v>0.224492869799184</v>
      </c>
    </row>
    <row r="28" customFormat="false" ht="15" hidden="false" customHeight="false" outlineLevel="0" collapsed="false">
      <c r="A28" s="19" t="s">
        <v>125</v>
      </c>
      <c r="B28" s="23" t="n">
        <v>2200</v>
      </c>
      <c r="C28" s="23" t="n">
        <v>1</v>
      </c>
      <c r="D28" s="26" t="n">
        <v>31</v>
      </c>
      <c r="E28" s="19" t="s">
        <v>126</v>
      </c>
      <c r="F28" s="30" t="n">
        <v>0.0767123287671232</v>
      </c>
      <c r="G28" s="31" t="n">
        <v>28</v>
      </c>
      <c r="H28" s="32" t="n">
        <v>0.251601842459732</v>
      </c>
    </row>
    <row r="29" customFormat="false" ht="15" hidden="false" customHeight="false" outlineLevel="0" collapsed="false">
      <c r="A29" s="17" t="s">
        <v>125</v>
      </c>
      <c r="B29" s="21" t="n">
        <v>2240</v>
      </c>
      <c r="C29" s="21" t="n">
        <v>0.4</v>
      </c>
      <c r="D29" s="25" t="n">
        <v>3</v>
      </c>
      <c r="E29" s="17" t="s">
        <v>126</v>
      </c>
      <c r="F29" s="27" t="n">
        <v>0.0767123287671232</v>
      </c>
      <c r="G29" s="28" t="n">
        <v>28</v>
      </c>
      <c r="H29" s="29" t="n">
        <v>0.245700220815325</v>
      </c>
    </row>
    <row r="30" customFormat="false" ht="15" hidden="false" customHeight="false" outlineLevel="0" collapsed="false">
      <c r="A30" s="19" t="s">
        <v>127</v>
      </c>
      <c r="B30" s="23" t="n">
        <v>1680</v>
      </c>
      <c r="C30" s="23" t="n">
        <v>1.8</v>
      </c>
      <c r="D30" s="26" t="n">
        <v>0</v>
      </c>
      <c r="E30" s="19" t="s">
        <v>126</v>
      </c>
      <c r="F30" s="30" t="n">
        <v>0.0767123287671232</v>
      </c>
      <c r="G30" s="31" t="n">
        <v>28</v>
      </c>
      <c r="H30" s="32" t="n">
        <v>0.252481992003585</v>
      </c>
    </row>
    <row r="31" customFormat="false" ht="15" hidden="false" customHeight="false" outlineLevel="0" collapsed="false">
      <c r="A31" s="17" t="s">
        <v>127</v>
      </c>
      <c r="B31" s="21" t="n">
        <v>1700</v>
      </c>
      <c r="C31" s="21" t="n">
        <v>0.9</v>
      </c>
      <c r="D31" s="25" t="n">
        <v>0</v>
      </c>
      <c r="E31" s="17" t="s">
        <v>126</v>
      </c>
      <c r="F31" s="27" t="n">
        <v>0.0767123287671232</v>
      </c>
      <c r="G31" s="28" t="n">
        <v>28</v>
      </c>
      <c r="H31" s="29" t="n">
        <v>0.206534637225559</v>
      </c>
    </row>
    <row r="32" customFormat="false" ht="15" hidden="false" customHeight="false" outlineLevel="0" collapsed="false">
      <c r="A32" s="19" t="s">
        <v>127</v>
      </c>
      <c r="B32" s="23" t="n">
        <v>1720</v>
      </c>
      <c r="C32" s="23" t="n">
        <v>0.7</v>
      </c>
      <c r="D32" s="26" t="n">
        <v>1</v>
      </c>
      <c r="E32" s="19" t="s">
        <v>126</v>
      </c>
      <c r="F32" s="30" t="n">
        <v>0.0767123287671232</v>
      </c>
      <c r="G32" s="31" t="n">
        <v>28</v>
      </c>
      <c r="H32" s="32" t="n">
        <v>0.181031119331276</v>
      </c>
    </row>
    <row r="33" customFormat="false" ht="15" hidden="false" customHeight="false" outlineLevel="0" collapsed="false">
      <c r="A33" s="17" t="s">
        <v>127</v>
      </c>
      <c r="B33" s="21" t="n">
        <v>1740</v>
      </c>
      <c r="C33" s="21" t="n">
        <v>1</v>
      </c>
      <c r="D33" s="25" t="n">
        <v>4</v>
      </c>
      <c r="E33" s="17" t="s">
        <v>126</v>
      </c>
      <c r="F33" s="27" t="n">
        <v>0.0767123287671232</v>
      </c>
      <c r="G33" s="28" t="n">
        <v>28</v>
      </c>
      <c r="H33" s="29" t="n">
        <v>0.173221074203692</v>
      </c>
    </row>
    <row r="34" customFormat="false" ht="15" hidden="false" customHeight="false" outlineLevel="0" collapsed="false">
      <c r="A34" s="19" t="s">
        <v>127</v>
      </c>
      <c r="B34" s="23" t="n">
        <v>1760</v>
      </c>
      <c r="C34" s="23" t="n">
        <v>1.65</v>
      </c>
      <c r="D34" s="26" t="n">
        <v>3</v>
      </c>
      <c r="E34" s="19" t="s">
        <v>126</v>
      </c>
      <c r="F34" s="30" t="n">
        <v>0.0767123287671232</v>
      </c>
      <c r="G34" s="31" t="n">
        <v>28</v>
      </c>
      <c r="H34" s="32" t="n">
        <v>0.169862540900141</v>
      </c>
    </row>
    <row r="35" customFormat="false" ht="15" hidden="false" customHeight="false" outlineLevel="0" collapsed="false">
      <c r="A35" s="17" t="s">
        <v>127</v>
      </c>
      <c r="B35" s="21" t="n">
        <v>1780</v>
      </c>
      <c r="C35" s="21" t="n">
        <v>2.4</v>
      </c>
      <c r="D35" s="25" t="n">
        <v>121</v>
      </c>
      <c r="E35" s="17" t="s">
        <v>126</v>
      </c>
      <c r="F35" s="27" t="n">
        <v>0.0767123287671232</v>
      </c>
      <c r="G35" s="28" t="n">
        <v>28</v>
      </c>
      <c r="H35" s="29" t="n">
        <v>0.16256997892816</v>
      </c>
    </row>
    <row r="36" customFormat="false" ht="15" hidden="false" customHeight="false" outlineLevel="0" collapsed="false">
      <c r="A36" s="19" t="s">
        <v>127</v>
      </c>
      <c r="B36" s="23" t="n">
        <v>1800</v>
      </c>
      <c r="C36" s="23" t="n">
        <v>3.7</v>
      </c>
      <c r="D36" s="26" t="n">
        <v>1053</v>
      </c>
      <c r="E36" s="19" t="s">
        <v>126</v>
      </c>
      <c r="F36" s="30" t="n">
        <v>0.0767123287671232</v>
      </c>
      <c r="G36" s="31" t="n">
        <v>28</v>
      </c>
      <c r="H36" s="32" t="n">
        <v>0.157562347626216</v>
      </c>
    </row>
    <row r="37" customFormat="false" ht="15" hidden="false" customHeight="false" outlineLevel="0" collapsed="false">
      <c r="A37" s="17" t="s">
        <v>127</v>
      </c>
      <c r="B37" s="21" t="n">
        <v>1820</v>
      </c>
      <c r="C37" s="21" t="n">
        <v>5.1</v>
      </c>
      <c r="D37" s="25" t="n">
        <v>574</v>
      </c>
      <c r="E37" s="17" t="s">
        <v>126</v>
      </c>
      <c r="F37" s="27" t="n">
        <v>0.0767123287671232</v>
      </c>
      <c r="G37" s="28" t="n">
        <v>28</v>
      </c>
      <c r="H37" s="29" t="n">
        <v>0.147832422390231</v>
      </c>
    </row>
    <row r="38" customFormat="false" ht="15" hidden="false" customHeight="false" outlineLevel="0" collapsed="false">
      <c r="A38" s="19" t="s">
        <v>127</v>
      </c>
      <c r="B38" s="23" t="n">
        <v>1840</v>
      </c>
      <c r="C38" s="23" t="n">
        <v>7.6</v>
      </c>
      <c r="D38" s="26" t="n">
        <v>330</v>
      </c>
      <c r="E38" s="19" t="s">
        <v>126</v>
      </c>
      <c r="F38" s="30" t="n">
        <v>0.0767123287671232</v>
      </c>
      <c r="G38" s="31" t="n">
        <v>28</v>
      </c>
      <c r="H38" s="32" t="n">
        <v>0.141578362414702</v>
      </c>
    </row>
    <row r="39" customFormat="false" ht="15" hidden="false" customHeight="false" outlineLevel="0" collapsed="false">
      <c r="A39" s="17" t="s">
        <v>127</v>
      </c>
      <c r="B39" s="21" t="n">
        <v>1860</v>
      </c>
      <c r="C39" s="21" t="n">
        <v>11.5</v>
      </c>
      <c r="D39" s="25" t="n">
        <v>693</v>
      </c>
      <c r="E39" s="17" t="s">
        <v>126</v>
      </c>
      <c r="F39" s="27" t="n">
        <v>0.0767123287671232</v>
      </c>
      <c r="G39" s="28" t="n">
        <v>28</v>
      </c>
      <c r="H39" s="29" t="n">
        <v>0.136975382375344</v>
      </c>
    </row>
    <row r="40" customFormat="false" ht="15" hidden="false" customHeight="false" outlineLevel="0" collapsed="false">
      <c r="A40" s="19" t="s">
        <v>127</v>
      </c>
      <c r="B40" s="23" t="n">
        <v>1880</v>
      </c>
      <c r="C40" s="23" t="n">
        <v>17.35</v>
      </c>
      <c r="D40" s="26" t="n">
        <v>1109</v>
      </c>
      <c r="E40" s="19" t="s">
        <v>126</v>
      </c>
      <c r="F40" s="30" t="n">
        <v>0.0767123287671232</v>
      </c>
      <c r="G40" s="31" t="n">
        <v>28</v>
      </c>
      <c r="H40" s="32" t="n">
        <v>0.134176228367601</v>
      </c>
    </row>
    <row r="41" customFormat="false" ht="15" hidden="false" customHeight="false" outlineLevel="0" collapsed="false">
      <c r="A41" s="17" t="s">
        <v>127</v>
      </c>
      <c r="B41" s="21" t="n">
        <v>1900</v>
      </c>
      <c r="C41" s="21" t="n">
        <v>25.25</v>
      </c>
      <c r="D41" s="25" t="n">
        <v>1866</v>
      </c>
      <c r="E41" s="17" t="s">
        <v>126</v>
      </c>
      <c r="F41" s="27" t="n">
        <v>0.0767123287671232</v>
      </c>
      <c r="G41" s="28" t="n">
        <v>28</v>
      </c>
      <c r="H41" s="29" t="n">
        <v>0.131483475388313</v>
      </c>
    </row>
    <row r="42" customFormat="false" ht="15" hidden="false" customHeight="false" outlineLevel="0" collapsed="false">
      <c r="A42" s="19" t="s">
        <v>127</v>
      </c>
      <c r="B42" s="23" t="n">
        <v>1920</v>
      </c>
      <c r="C42" s="23" t="n">
        <v>35.6</v>
      </c>
      <c r="D42" s="26" t="n">
        <v>2265</v>
      </c>
      <c r="E42" s="19" t="s">
        <v>126</v>
      </c>
      <c r="F42" s="30" t="n">
        <v>0.0767123287671232</v>
      </c>
      <c r="G42" s="31" t="n">
        <v>28</v>
      </c>
      <c r="H42" s="32" t="n">
        <v>0.129765509048875</v>
      </c>
    </row>
    <row r="43" customFormat="false" ht="15" hidden="false" customHeight="false" outlineLevel="0" collapsed="false">
      <c r="A43" s="17" t="s">
        <v>127</v>
      </c>
      <c r="B43" s="21" t="n">
        <v>1940</v>
      </c>
      <c r="C43" s="21" t="n">
        <v>48.55</v>
      </c>
      <c r="D43" s="25" t="n">
        <v>474</v>
      </c>
      <c r="E43" s="17" t="s">
        <v>126</v>
      </c>
      <c r="F43" s="27" t="n">
        <v>0.0767123287671232</v>
      </c>
      <c r="G43" s="28" t="n">
        <v>28</v>
      </c>
      <c r="H43" s="29" t="n">
        <v>0.129877954657652</v>
      </c>
    </row>
    <row r="44" customFormat="false" ht="15" hidden="false" customHeight="false" outlineLevel="0" collapsed="false">
      <c r="A44" s="19" t="s">
        <v>127</v>
      </c>
      <c r="B44" s="23" t="n">
        <v>1960</v>
      </c>
      <c r="C44" s="23" t="n">
        <v>64.8</v>
      </c>
      <c r="D44" s="26" t="n">
        <v>129</v>
      </c>
      <c r="E44" s="19" t="s">
        <v>126</v>
      </c>
      <c r="F44" s="30" t="n">
        <v>0.0767123287671232</v>
      </c>
      <c r="G44" s="31" t="n">
        <v>28</v>
      </c>
      <c r="H44" s="32" t="n">
        <v>0.138461806419012</v>
      </c>
    </row>
    <row r="45" customFormat="false" ht="15" hidden="false" customHeight="false" outlineLevel="0" collapsed="false">
      <c r="A45" s="17" t="s">
        <v>127</v>
      </c>
      <c r="B45" s="21" t="n">
        <v>1980</v>
      </c>
      <c r="C45" s="21" t="n">
        <v>77.35</v>
      </c>
      <c r="D45" s="25" t="n">
        <v>11</v>
      </c>
      <c r="E45" s="17" t="s">
        <v>126</v>
      </c>
      <c r="F45" s="27" t="n">
        <v>0.0767123287671232</v>
      </c>
      <c r="G45" s="28" t="n">
        <v>28</v>
      </c>
      <c r="H45" s="29" t="n">
        <v>0.10489394142615</v>
      </c>
    </row>
    <row r="46" customFormat="false" ht="15" hidden="false" customHeight="false" outlineLevel="0" collapsed="false">
      <c r="A46" s="19" t="s">
        <v>127</v>
      </c>
      <c r="B46" s="23" t="n">
        <v>2000</v>
      </c>
      <c r="C46" s="23" t="n">
        <v>95.15</v>
      </c>
      <c r="D46" s="26" t="n">
        <v>29</v>
      </c>
      <c r="E46" s="19" t="s">
        <v>126</v>
      </c>
      <c r="F46" s="30" t="n">
        <v>0.0767123287671232</v>
      </c>
      <c r="G46" s="31" t="n">
        <v>28</v>
      </c>
      <c r="H46" s="32" t="n">
        <v>0.0829291906692404</v>
      </c>
    </row>
    <row r="47" customFormat="false" ht="15" hidden="false" customHeight="false" outlineLevel="0" collapsed="false">
      <c r="A47" s="17" t="s">
        <v>127</v>
      </c>
      <c r="B47" s="21" t="n">
        <v>2020</v>
      </c>
      <c r="C47" s="21" t="n">
        <v>116.55</v>
      </c>
      <c r="D47" s="25" t="n">
        <v>4</v>
      </c>
      <c r="E47" s="17" t="s">
        <v>126</v>
      </c>
      <c r="F47" s="27" t="n">
        <v>0.0767123287671232</v>
      </c>
      <c r="G47" s="28" t="n">
        <v>28</v>
      </c>
      <c r="H47" s="29" t="n">
        <v>0.134339600335881</v>
      </c>
    </row>
    <row r="48" customFormat="false" ht="15" hidden="false" customHeight="false" outlineLevel="0" collapsed="false">
      <c r="A48" s="19" t="s">
        <v>127</v>
      </c>
      <c r="B48" s="23" t="n">
        <v>2140</v>
      </c>
      <c r="C48" s="23" t="n">
        <v>235</v>
      </c>
      <c r="D48" s="26" t="n">
        <v>0</v>
      </c>
      <c r="E48" s="19" t="s">
        <v>126</v>
      </c>
      <c r="F48" s="30" t="n">
        <v>0.0767123287671232</v>
      </c>
      <c r="G48" s="31" t="n">
        <v>28</v>
      </c>
      <c r="H48" s="32" t="n">
        <v>0.203985404420459</v>
      </c>
    </row>
    <row r="49" customFormat="false" ht="15" hidden="false" customHeight="false" outlineLevel="0" collapsed="false">
      <c r="A49" s="17" t="s">
        <v>125</v>
      </c>
      <c r="B49" s="21" t="n">
        <v>1900</v>
      </c>
      <c r="C49" s="21" t="n">
        <v>51</v>
      </c>
      <c r="D49" s="25" t="n">
        <v>28</v>
      </c>
      <c r="E49" s="17" t="s">
        <v>128</v>
      </c>
      <c r="F49" s="27" t="n">
        <v>0.153424657534247</v>
      </c>
      <c r="G49" s="28" t="n">
        <v>56</v>
      </c>
      <c r="H49" s="29" t="n">
        <v>0.147894119996029</v>
      </c>
    </row>
    <row r="50" customFormat="false" ht="15" hidden="false" customHeight="false" outlineLevel="0" collapsed="false">
      <c r="A50" s="19" t="s">
        <v>125</v>
      </c>
      <c r="B50" s="23" t="n">
        <v>1920</v>
      </c>
      <c r="C50" s="23" t="n">
        <v>70</v>
      </c>
      <c r="D50" s="26" t="n">
        <v>0</v>
      </c>
      <c r="E50" s="19" t="s">
        <v>128</v>
      </c>
      <c r="F50" s="30" t="n">
        <v>0.153424657534247</v>
      </c>
      <c r="G50" s="31" t="n">
        <v>56</v>
      </c>
      <c r="H50" s="32" t="n">
        <v>0.245722311935182</v>
      </c>
    </row>
    <row r="51" customFormat="false" ht="15" hidden="false" customHeight="false" outlineLevel="0" collapsed="false">
      <c r="A51" s="17" t="s">
        <v>125</v>
      </c>
      <c r="B51" s="21" t="n">
        <v>1940</v>
      </c>
      <c r="C51" s="21" t="n">
        <v>30.6</v>
      </c>
      <c r="D51" s="25" t="n">
        <v>5</v>
      </c>
      <c r="E51" s="17" t="s">
        <v>128</v>
      </c>
      <c r="F51" s="27" t="n">
        <v>0.153424657534247</v>
      </c>
      <c r="G51" s="28" t="n">
        <v>56</v>
      </c>
      <c r="H51" s="29" t="n">
        <v>0.141430358775316</v>
      </c>
    </row>
    <row r="52" customFormat="false" ht="15" hidden="false" customHeight="false" outlineLevel="0" collapsed="false">
      <c r="A52" s="19" t="s">
        <v>125</v>
      </c>
      <c r="B52" s="23" t="n">
        <v>1960</v>
      </c>
      <c r="C52" s="23" t="n">
        <v>36</v>
      </c>
      <c r="D52" s="26" t="n">
        <v>0</v>
      </c>
      <c r="E52" s="19" t="s">
        <v>128</v>
      </c>
      <c r="F52" s="30" t="n">
        <v>0.153424657534247</v>
      </c>
      <c r="G52" s="31" t="n">
        <v>56</v>
      </c>
      <c r="H52" s="32" t="n">
        <v>0.186167208148032</v>
      </c>
    </row>
    <row r="53" customFormat="false" ht="15" hidden="false" customHeight="false" outlineLevel="0" collapsed="false">
      <c r="A53" s="17" t="s">
        <v>125</v>
      </c>
      <c r="B53" s="21" t="n">
        <v>2000</v>
      </c>
      <c r="C53" s="21" t="n">
        <v>14.25</v>
      </c>
      <c r="D53" s="25" t="n">
        <v>57</v>
      </c>
      <c r="E53" s="17" t="s">
        <v>128</v>
      </c>
      <c r="F53" s="27" t="n">
        <v>0.153424657534247</v>
      </c>
      <c r="G53" s="28" t="n">
        <v>56</v>
      </c>
      <c r="H53" s="29" t="n">
        <v>0.146645299457757</v>
      </c>
    </row>
    <row r="54" customFormat="false" ht="15" hidden="false" customHeight="false" outlineLevel="0" collapsed="false">
      <c r="A54" s="19" t="s">
        <v>125</v>
      </c>
      <c r="B54" s="23" t="n">
        <v>2020</v>
      </c>
      <c r="C54" s="23" t="n">
        <v>11.3</v>
      </c>
      <c r="D54" s="26" t="n">
        <v>10</v>
      </c>
      <c r="E54" s="19" t="s">
        <v>128</v>
      </c>
      <c r="F54" s="30" t="n">
        <v>0.153424657534247</v>
      </c>
      <c r="G54" s="31" t="n">
        <v>56</v>
      </c>
      <c r="H54" s="32" t="n">
        <v>0.150734678740064</v>
      </c>
    </row>
    <row r="55" customFormat="false" ht="15" hidden="false" customHeight="false" outlineLevel="0" collapsed="false">
      <c r="A55" s="17" t="s">
        <v>125</v>
      </c>
      <c r="B55" s="21" t="n">
        <v>2040</v>
      </c>
      <c r="C55" s="21" t="n">
        <v>14.35</v>
      </c>
      <c r="D55" s="25" t="n">
        <v>1</v>
      </c>
      <c r="E55" s="17" t="s">
        <v>128</v>
      </c>
      <c r="F55" s="27" t="n">
        <v>0.153424657534247</v>
      </c>
      <c r="G55" s="28" t="n">
        <v>56</v>
      </c>
      <c r="H55" s="29" t="n">
        <v>0.182829219688431</v>
      </c>
    </row>
    <row r="56" customFormat="false" ht="15" hidden="false" customHeight="false" outlineLevel="0" collapsed="false">
      <c r="A56" s="19" t="s">
        <v>125</v>
      </c>
      <c r="B56" s="23" t="n">
        <v>2060</v>
      </c>
      <c r="C56" s="23" t="n">
        <v>14.5</v>
      </c>
      <c r="D56" s="26" t="n">
        <v>0</v>
      </c>
      <c r="E56" s="19" t="s">
        <v>128</v>
      </c>
      <c r="F56" s="30" t="n">
        <v>0.153424657534247</v>
      </c>
      <c r="G56" s="31" t="n">
        <v>56</v>
      </c>
      <c r="H56" s="32" t="n">
        <v>0.200339295547623</v>
      </c>
    </row>
    <row r="57" customFormat="false" ht="15" hidden="false" customHeight="false" outlineLevel="0" collapsed="false">
      <c r="A57" s="17" t="s">
        <v>125</v>
      </c>
      <c r="B57" s="21" t="n">
        <v>2200</v>
      </c>
      <c r="C57" s="21" t="n">
        <v>2.5</v>
      </c>
      <c r="D57" s="25" t="n">
        <v>2</v>
      </c>
      <c r="E57" s="17" t="s">
        <v>128</v>
      </c>
      <c r="F57" s="27" t="n">
        <v>0.153424657534247</v>
      </c>
      <c r="G57" s="28" t="n">
        <v>56</v>
      </c>
      <c r="H57" s="29" t="n">
        <v>0.20138808516169</v>
      </c>
    </row>
    <row r="58" customFormat="false" ht="15" hidden="false" customHeight="false" outlineLevel="0" collapsed="false">
      <c r="A58" s="19" t="s">
        <v>127</v>
      </c>
      <c r="B58" s="23" t="n">
        <v>1800</v>
      </c>
      <c r="C58" s="23" t="n">
        <v>10.55</v>
      </c>
      <c r="D58" s="26" t="n">
        <v>10</v>
      </c>
      <c r="E58" s="19" t="s">
        <v>128</v>
      </c>
      <c r="F58" s="30" t="n">
        <v>0.153424657534247</v>
      </c>
      <c r="G58" s="31" t="n">
        <v>56</v>
      </c>
      <c r="H58" s="32" t="n">
        <v>0.16339992114626</v>
      </c>
    </row>
    <row r="59" customFormat="false" ht="15" hidden="false" customHeight="false" outlineLevel="0" collapsed="false">
      <c r="A59" s="17" t="s">
        <v>127</v>
      </c>
      <c r="B59" s="21" t="n">
        <v>1840</v>
      </c>
      <c r="C59" s="21" t="n">
        <v>12</v>
      </c>
      <c r="D59" s="25" t="n">
        <v>0</v>
      </c>
      <c r="E59" s="17" t="s">
        <v>128</v>
      </c>
      <c r="F59" s="27" t="n">
        <v>0.153424657534247</v>
      </c>
      <c r="G59" s="28" t="n">
        <v>56</v>
      </c>
      <c r="H59" s="29" t="n">
        <v>0.130652883388616</v>
      </c>
    </row>
    <row r="60" customFormat="false" ht="15" hidden="false" customHeight="false" outlineLevel="0" collapsed="false">
      <c r="A60" s="19" t="s">
        <v>127</v>
      </c>
      <c r="B60" s="23" t="n">
        <v>1860</v>
      </c>
      <c r="C60" s="23" t="n">
        <v>20.2</v>
      </c>
      <c r="D60" s="26" t="n">
        <v>0</v>
      </c>
      <c r="E60" s="19" t="s">
        <v>128</v>
      </c>
      <c r="F60" s="30" t="n">
        <v>0.153424657534247</v>
      </c>
      <c r="G60" s="31" t="n">
        <v>56</v>
      </c>
      <c r="H60" s="32" t="n">
        <v>0.142633979010826</v>
      </c>
    </row>
    <row r="61" customFormat="false" ht="15" hidden="false" customHeight="false" outlineLevel="0" collapsed="false">
      <c r="A61" s="17" t="s">
        <v>127</v>
      </c>
      <c r="B61" s="21" t="n">
        <v>1900</v>
      </c>
      <c r="C61" s="21" t="n">
        <v>28</v>
      </c>
      <c r="D61" s="25" t="n">
        <v>0</v>
      </c>
      <c r="E61" s="17" t="s">
        <v>128</v>
      </c>
      <c r="F61" s="27" t="n">
        <v>0.153424657534247</v>
      </c>
      <c r="G61" s="28" t="n">
        <v>56</v>
      </c>
      <c r="H61" s="29" t="n">
        <v>0.117143514970831</v>
      </c>
    </row>
    <row r="62" customFormat="false" ht="15" hidden="false" customHeight="false" outlineLevel="0" collapsed="false">
      <c r="A62" s="19" t="s">
        <v>127</v>
      </c>
      <c r="B62" s="23" t="n">
        <v>1920</v>
      </c>
      <c r="C62" s="23" t="n">
        <v>36</v>
      </c>
      <c r="D62" s="26" t="n">
        <v>0</v>
      </c>
      <c r="E62" s="19" t="s">
        <v>128</v>
      </c>
      <c r="F62" s="30" t="n">
        <v>0.153424657534247</v>
      </c>
      <c r="G62" s="31" t="n">
        <v>56</v>
      </c>
      <c r="H62" s="32" t="n">
        <v>0.111374451846245</v>
      </c>
    </row>
    <row r="63" customFormat="false" ht="15" hidden="false" customHeight="false" outlineLevel="0" collapsed="false">
      <c r="A63" s="17" t="s">
        <v>127</v>
      </c>
      <c r="B63" s="21" t="n">
        <v>1940</v>
      </c>
      <c r="C63" s="21" t="n">
        <v>49</v>
      </c>
      <c r="D63" s="25" t="n">
        <v>0</v>
      </c>
      <c r="E63" s="17" t="s">
        <v>128</v>
      </c>
      <c r="F63" s="27" t="n">
        <v>0.153424657534247</v>
      </c>
      <c r="G63" s="28" t="n">
        <v>56</v>
      </c>
      <c r="H63" s="29" t="n">
        <v>0.116470374156695</v>
      </c>
    </row>
    <row r="64" customFormat="false" ht="15" hidden="false" customHeight="false" outlineLevel="0" collapsed="false">
      <c r="A64" s="19" t="s">
        <v>127</v>
      </c>
      <c r="B64" s="23" t="n">
        <v>1960</v>
      </c>
      <c r="C64" s="23" t="n">
        <v>54</v>
      </c>
      <c r="D64" s="26" t="n">
        <v>0</v>
      </c>
      <c r="E64" s="19" t="s">
        <v>128</v>
      </c>
      <c r="F64" s="30" t="n">
        <v>0.153424657534247</v>
      </c>
      <c r="G64" s="31" t="n">
        <v>56</v>
      </c>
      <c r="H64" s="32" t="n">
        <v>0.0835410548348236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35" hidden="false" customHeight="false" outlineLevel="0" collapsed="false">
      <c r="A1" s="1" t="s">
        <v>134</v>
      </c>
    </row>
    <row r="2" customFormat="false" ht="15" hidden="false" customHeight="false" outlineLevel="0" collapsed="false">
      <c r="A2" s="2" t="s">
        <v>135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4" min="3" style="0" width="12"/>
    <col collapsed="false" customWidth="true" hidden="false" outlineLevel="0" max="5" min="5" style="0" width="30"/>
    <col collapsed="false" customWidth="true" hidden="false" outlineLevel="0" max="7" min="6" style="0" width="14"/>
  </cols>
  <sheetData>
    <row r="1" customFormat="false" ht="17.35" hidden="false" customHeight="false" outlineLevel="0" collapsed="false">
      <c r="A1" s="1" t="s">
        <v>136</v>
      </c>
    </row>
    <row r="2" customFormat="false" ht="15" hidden="false" customHeight="false" outlineLevel="0" collapsed="false">
      <c r="A2" s="2" t="s">
        <v>137</v>
      </c>
    </row>
    <row r="4" customFormat="false" ht="15" hidden="false" customHeight="false" outlineLevel="0" collapsed="false">
      <c r="A4" s="16" t="s">
        <v>121</v>
      </c>
      <c r="B4" s="16" t="s">
        <v>138</v>
      </c>
      <c r="C4" s="16" t="s">
        <v>120</v>
      </c>
      <c r="D4" s="16" t="s">
        <v>52</v>
      </c>
      <c r="E4" s="16" t="s">
        <v>139</v>
      </c>
      <c r="F4" s="16" t="s">
        <v>140</v>
      </c>
      <c r="G4" s="16" t="s">
        <v>141</v>
      </c>
    </row>
    <row r="5" customFormat="false" ht="15" hidden="false" customHeight="false" outlineLevel="0" collapsed="false">
      <c r="A5" s="33" t="n">
        <v>1800.411</v>
      </c>
      <c r="B5" s="17" t="n">
        <v>30</v>
      </c>
      <c r="C5" s="17" t="s">
        <v>125</v>
      </c>
      <c r="D5" s="34" t="n">
        <v>107.311126873706</v>
      </c>
      <c r="E5" s="34" t="n">
        <v>94.759</v>
      </c>
      <c r="F5" s="34" t="n">
        <v>12.5521268737057</v>
      </c>
      <c r="G5" s="17" t="s">
        <v>142</v>
      </c>
    </row>
    <row r="6" customFormat="false" ht="15" hidden="false" customHeight="false" outlineLevel="0" collapsed="false">
      <c r="A6" s="35" t="n">
        <v>1800.411</v>
      </c>
      <c r="B6" s="19" t="n">
        <v>30</v>
      </c>
      <c r="C6" s="19" t="s">
        <v>127</v>
      </c>
      <c r="D6" s="36" t="n">
        <v>2.95914068107911</v>
      </c>
      <c r="E6" s="36" t="n">
        <v>0</v>
      </c>
      <c r="F6" s="36" t="n">
        <v>2.95914068107911</v>
      </c>
      <c r="G6" s="19" t="s">
        <v>143</v>
      </c>
    </row>
    <row r="7" customFormat="false" ht="15" hidden="false" customHeight="false" outlineLevel="0" collapsed="false">
      <c r="A7" s="33" t="n">
        <v>1800.411</v>
      </c>
      <c r="B7" s="17" t="n">
        <v>60</v>
      </c>
      <c r="C7" s="17" t="s">
        <v>125</v>
      </c>
      <c r="D7" s="34" t="n">
        <v>121.815960755176</v>
      </c>
      <c r="E7" s="34" t="n">
        <v>94.759</v>
      </c>
      <c r="F7" s="34" t="n">
        <v>27.0569607551761</v>
      </c>
      <c r="G7" s="17" t="s">
        <v>142</v>
      </c>
    </row>
    <row r="8" customFormat="false" ht="15" hidden="false" customHeight="false" outlineLevel="0" collapsed="false">
      <c r="A8" s="35" t="n">
        <v>1800.411</v>
      </c>
      <c r="B8" s="19" t="n">
        <v>60</v>
      </c>
      <c r="C8" s="19" t="s">
        <v>127</v>
      </c>
      <c r="D8" s="36" t="n">
        <v>7.92210191238212</v>
      </c>
      <c r="E8" s="36" t="n">
        <v>0</v>
      </c>
      <c r="F8" s="36" t="n">
        <v>7.92210191238212</v>
      </c>
      <c r="G8" s="19" t="s">
        <v>143</v>
      </c>
    </row>
    <row r="9" customFormat="false" ht="15" hidden="false" customHeight="false" outlineLevel="0" collapsed="false">
      <c r="A9" s="33" t="n">
        <v>1800.411</v>
      </c>
      <c r="B9" s="17" t="n">
        <v>90</v>
      </c>
      <c r="C9" s="17" t="s">
        <v>125</v>
      </c>
      <c r="D9" s="34" t="n">
        <v>135.55021684639</v>
      </c>
      <c r="E9" s="34" t="n">
        <v>94.759</v>
      </c>
      <c r="F9" s="34" t="n">
        <v>40.7912168463899</v>
      </c>
      <c r="G9" s="17" t="s">
        <v>142</v>
      </c>
    </row>
    <row r="10" customFormat="false" ht="15" hidden="false" customHeight="false" outlineLevel="0" collapsed="false">
      <c r="A10" s="35" t="n">
        <v>1800.411</v>
      </c>
      <c r="B10" s="19" t="n">
        <v>90</v>
      </c>
      <c r="C10" s="19" t="s">
        <v>127</v>
      </c>
      <c r="D10" s="36" t="n">
        <v>12.1653265516799</v>
      </c>
      <c r="E10" s="36" t="n">
        <v>0</v>
      </c>
      <c r="F10" s="36" t="n">
        <v>12.1653265516799</v>
      </c>
      <c r="G10" s="19" t="s">
        <v>143</v>
      </c>
    </row>
    <row r="11" customFormat="false" ht="15" hidden="false" customHeight="false" outlineLevel="0" collapsed="false">
      <c r="A11" s="33" t="n">
        <v>1857.267</v>
      </c>
      <c r="B11" s="17" t="n">
        <v>30</v>
      </c>
      <c r="C11" s="17" t="s">
        <v>125</v>
      </c>
      <c r="D11" s="34" t="n">
        <v>60.419788955063</v>
      </c>
      <c r="E11" s="34" t="n">
        <v>37.903</v>
      </c>
      <c r="F11" s="34" t="n">
        <v>22.516788955063</v>
      </c>
      <c r="G11" s="17" t="s">
        <v>144</v>
      </c>
    </row>
    <row r="12" customFormat="false" ht="15" hidden="false" customHeight="false" outlineLevel="0" collapsed="false">
      <c r="A12" s="35" t="n">
        <v>1857.267</v>
      </c>
      <c r="B12" s="19" t="n">
        <v>30</v>
      </c>
      <c r="C12" s="19" t="s">
        <v>127</v>
      </c>
      <c r="D12" s="36" t="n">
        <v>12.6208614768261</v>
      </c>
      <c r="E12" s="36" t="n">
        <v>0</v>
      </c>
      <c r="F12" s="36" t="n">
        <v>12.6208614768261</v>
      </c>
      <c r="G12" s="19" t="s">
        <v>144</v>
      </c>
    </row>
    <row r="13" customFormat="false" ht="15" hidden="false" customHeight="false" outlineLevel="0" collapsed="false">
      <c r="A13" s="33" t="n">
        <v>1857.267</v>
      </c>
      <c r="B13" s="17" t="n">
        <v>60</v>
      </c>
      <c r="C13" s="17" t="s">
        <v>125</v>
      </c>
      <c r="D13" s="34" t="n">
        <v>78.2069592749665</v>
      </c>
      <c r="E13" s="34" t="n">
        <v>37.903</v>
      </c>
      <c r="F13" s="34" t="n">
        <v>40.3039592749665</v>
      </c>
      <c r="G13" s="17" t="s">
        <v>144</v>
      </c>
    </row>
    <row r="14" customFormat="false" ht="15" hidden="false" customHeight="false" outlineLevel="0" collapsed="false">
      <c r="A14" s="35" t="n">
        <v>1857.267</v>
      </c>
      <c r="B14" s="19" t="n">
        <v>60</v>
      </c>
      <c r="C14" s="19" t="s">
        <v>127</v>
      </c>
      <c r="D14" s="36" t="n">
        <v>20.564831998817</v>
      </c>
      <c r="E14" s="36" t="n">
        <v>0</v>
      </c>
      <c r="F14" s="36" t="n">
        <v>20.564831998817</v>
      </c>
      <c r="G14" s="19" t="s">
        <v>144</v>
      </c>
    </row>
    <row r="15" customFormat="false" ht="15" hidden="false" customHeight="false" outlineLevel="0" collapsed="false">
      <c r="A15" s="33" t="n">
        <v>1857.267</v>
      </c>
      <c r="B15" s="17" t="n">
        <v>90</v>
      </c>
      <c r="C15" s="17" t="s">
        <v>125</v>
      </c>
      <c r="D15" s="34" t="n">
        <v>93.4488749990635</v>
      </c>
      <c r="E15" s="34" t="n">
        <v>37.903</v>
      </c>
      <c r="F15" s="34" t="n">
        <v>55.5458749990635</v>
      </c>
      <c r="G15" s="17" t="s">
        <v>144</v>
      </c>
    </row>
    <row r="16" customFormat="false" ht="15" hidden="false" customHeight="false" outlineLevel="0" collapsed="false">
      <c r="A16" s="35" t="n">
        <v>1857.267</v>
      </c>
      <c r="B16" s="19" t="n">
        <v>90</v>
      </c>
      <c r="C16" s="19" t="s">
        <v>127</v>
      </c>
      <c r="D16" s="36" t="n">
        <v>26.0159946606379</v>
      </c>
      <c r="E16" s="36" t="n">
        <v>0</v>
      </c>
      <c r="F16" s="36" t="n">
        <v>26.0159946606379</v>
      </c>
      <c r="G16" s="19" t="s">
        <v>144</v>
      </c>
    </row>
    <row r="17" customFormat="false" ht="15" hidden="false" customHeight="false" outlineLevel="0" collapsed="false">
      <c r="A17" s="33" t="n">
        <v>1895.17</v>
      </c>
      <c r="B17" s="17" t="n">
        <v>30</v>
      </c>
      <c r="C17" s="17" t="s">
        <v>125</v>
      </c>
      <c r="D17" s="34" t="n">
        <v>36.4198878805189</v>
      </c>
      <c r="E17" s="34" t="n">
        <v>0</v>
      </c>
      <c r="F17" s="34" t="n">
        <v>36.4198878805189</v>
      </c>
      <c r="G17" s="17" t="s">
        <v>144</v>
      </c>
    </row>
    <row r="18" customFormat="false" ht="15" hidden="false" customHeight="false" outlineLevel="0" collapsed="false">
      <c r="A18" s="35" t="n">
        <v>1895.17</v>
      </c>
      <c r="B18" s="19" t="n">
        <v>30</v>
      </c>
      <c r="C18" s="19" t="s">
        <v>127</v>
      </c>
      <c r="D18" s="36" t="n">
        <v>26.3220048734283</v>
      </c>
      <c r="E18" s="36" t="n">
        <v>0</v>
      </c>
      <c r="F18" s="36" t="n">
        <v>26.3220048734283</v>
      </c>
      <c r="G18" s="19" t="s">
        <v>144</v>
      </c>
    </row>
    <row r="19" customFormat="false" ht="15" hidden="false" customHeight="false" outlineLevel="0" collapsed="false">
      <c r="A19" s="33" t="n">
        <v>1895.17</v>
      </c>
      <c r="B19" s="17" t="n">
        <v>60</v>
      </c>
      <c r="C19" s="17" t="s">
        <v>125</v>
      </c>
      <c r="D19" s="34" t="n">
        <v>54.6812836842557</v>
      </c>
      <c r="E19" s="34" t="n">
        <v>0</v>
      </c>
      <c r="F19" s="34" t="n">
        <v>54.6812836842557</v>
      </c>
      <c r="G19" s="17" t="s">
        <v>144</v>
      </c>
    </row>
    <row r="20" customFormat="false" ht="15" hidden="false" customHeight="false" outlineLevel="0" collapsed="false">
      <c r="A20" s="35" t="n">
        <v>1895.17</v>
      </c>
      <c r="B20" s="19" t="n">
        <v>60</v>
      </c>
      <c r="C20" s="19" t="s">
        <v>127</v>
      </c>
      <c r="D20" s="36" t="n">
        <v>34.5393214139199</v>
      </c>
      <c r="E20" s="36" t="n">
        <v>0</v>
      </c>
      <c r="F20" s="36" t="n">
        <v>34.5393214139199</v>
      </c>
      <c r="G20" s="19" t="s">
        <v>144</v>
      </c>
    </row>
    <row r="21" customFormat="false" ht="15" hidden="false" customHeight="false" outlineLevel="0" collapsed="false">
      <c r="A21" s="33" t="n">
        <v>1895.17</v>
      </c>
      <c r="B21" s="17" t="n">
        <v>90</v>
      </c>
      <c r="C21" s="17" t="s">
        <v>125</v>
      </c>
      <c r="D21" s="34" t="n">
        <v>69.999633127306</v>
      </c>
      <c r="E21" s="34" t="n">
        <v>0</v>
      </c>
      <c r="F21" s="34" t="n">
        <v>69.999633127306</v>
      </c>
      <c r="G21" s="17" t="s">
        <v>144</v>
      </c>
    </row>
    <row r="22" customFormat="false" ht="15" hidden="false" customHeight="false" outlineLevel="0" collapsed="false">
      <c r="A22" s="35" t="n">
        <v>1895.17</v>
      </c>
      <c r="B22" s="19" t="n">
        <v>90</v>
      </c>
      <c r="C22" s="19" t="s">
        <v>127</v>
      </c>
      <c r="D22" s="36" t="n">
        <v>39.8671086593789</v>
      </c>
      <c r="E22" s="36" t="n">
        <v>0</v>
      </c>
      <c r="F22" s="36" t="n">
        <v>39.8671086593789</v>
      </c>
      <c r="G22" s="19" t="s">
        <v>144</v>
      </c>
    </row>
    <row r="23" customFormat="false" ht="15" hidden="false" customHeight="false" outlineLevel="0" collapsed="false">
      <c r="A23" s="33" t="n">
        <v>1933.073</v>
      </c>
      <c r="B23" s="17" t="n">
        <v>30</v>
      </c>
      <c r="C23" s="17" t="s">
        <v>125</v>
      </c>
      <c r="D23" s="34" t="n">
        <v>19.5289273264003</v>
      </c>
      <c r="E23" s="34" t="n">
        <v>0</v>
      </c>
      <c r="F23" s="34" t="n">
        <v>19.5289273264003</v>
      </c>
      <c r="G23" s="17" t="s">
        <v>144</v>
      </c>
    </row>
    <row r="24" customFormat="false" ht="15" hidden="false" customHeight="false" outlineLevel="0" collapsed="false">
      <c r="A24" s="35" t="n">
        <v>1933.073</v>
      </c>
      <c r="B24" s="19" t="n">
        <v>30</v>
      </c>
      <c r="C24" s="19" t="s">
        <v>127</v>
      </c>
      <c r="D24" s="36" t="n">
        <v>47.1320887904556</v>
      </c>
      <c r="E24" s="36" t="n">
        <v>37.903</v>
      </c>
      <c r="F24" s="36" t="n">
        <v>9.22908879045554</v>
      </c>
      <c r="G24" s="19" t="s">
        <v>144</v>
      </c>
    </row>
    <row r="25" customFormat="false" ht="15" hidden="false" customHeight="false" outlineLevel="0" collapsed="false">
      <c r="A25" s="33" t="n">
        <v>1933.073</v>
      </c>
      <c r="B25" s="17" t="n">
        <v>60</v>
      </c>
      <c r="C25" s="17" t="s">
        <v>125</v>
      </c>
      <c r="D25" s="34" t="n">
        <v>36.1739691218886</v>
      </c>
      <c r="E25" s="34" t="n">
        <v>0</v>
      </c>
      <c r="F25" s="34" t="n">
        <v>36.1739691218886</v>
      </c>
      <c r="G25" s="17" t="s">
        <v>144</v>
      </c>
    </row>
    <row r="26" customFormat="false" ht="15" hidden="false" customHeight="false" outlineLevel="0" collapsed="false">
      <c r="A26" s="35" t="n">
        <v>1933.073</v>
      </c>
      <c r="B26" s="19" t="n">
        <v>60</v>
      </c>
      <c r="C26" s="19" t="s">
        <v>127</v>
      </c>
      <c r="D26" s="36" t="n">
        <v>53.5321718573662</v>
      </c>
      <c r="E26" s="36" t="n">
        <v>37.903</v>
      </c>
      <c r="F26" s="36" t="n">
        <v>15.6291718573662</v>
      </c>
      <c r="G26" s="19" t="s">
        <v>144</v>
      </c>
    </row>
    <row r="27" customFormat="false" ht="15" hidden="false" customHeight="false" outlineLevel="0" collapsed="false">
      <c r="A27" s="33" t="n">
        <v>1933.073</v>
      </c>
      <c r="B27" s="17" t="n">
        <v>90</v>
      </c>
      <c r="C27" s="17" t="s">
        <v>125</v>
      </c>
      <c r="D27" s="34" t="n">
        <v>50.6150517522503</v>
      </c>
      <c r="E27" s="34" t="n">
        <v>0</v>
      </c>
      <c r="F27" s="34" t="n">
        <v>50.6150517522503</v>
      </c>
      <c r="G27" s="17" t="s">
        <v>144</v>
      </c>
    </row>
    <row r="28" customFormat="false" ht="15" hidden="false" customHeight="false" outlineLevel="0" collapsed="false">
      <c r="A28" s="35" t="n">
        <v>1933.073</v>
      </c>
      <c r="B28" s="19" t="n">
        <v>90</v>
      </c>
      <c r="C28" s="19" t="s">
        <v>127</v>
      </c>
      <c r="D28" s="36" t="n">
        <v>57.7828831548212</v>
      </c>
      <c r="E28" s="36" t="n">
        <v>37.903</v>
      </c>
      <c r="F28" s="36" t="n">
        <v>19.8798831548212</v>
      </c>
      <c r="G28" s="19" t="s">
        <v>144</v>
      </c>
    </row>
    <row r="29" customFormat="false" ht="15" hidden="false" customHeight="false" outlineLevel="0" collapsed="false">
      <c r="A29" s="33" t="n">
        <v>1989.929</v>
      </c>
      <c r="B29" s="17" t="n">
        <v>30</v>
      </c>
      <c r="C29" s="17" t="s">
        <v>125</v>
      </c>
      <c r="D29" s="34" t="n">
        <v>6.01188008664138</v>
      </c>
      <c r="E29" s="34" t="n">
        <v>0</v>
      </c>
      <c r="F29" s="34" t="n">
        <v>6.01188008664138</v>
      </c>
      <c r="G29" s="17" t="s">
        <v>143</v>
      </c>
    </row>
    <row r="30" customFormat="false" ht="15" hidden="false" customHeight="false" outlineLevel="0" collapsed="false">
      <c r="A30" s="35" t="n">
        <v>1989.929</v>
      </c>
      <c r="B30" s="19" t="n">
        <v>30</v>
      </c>
      <c r="C30" s="19" t="s">
        <v>127</v>
      </c>
      <c r="D30" s="36" t="n">
        <v>90.1681002650862</v>
      </c>
      <c r="E30" s="36" t="n">
        <v>94.759</v>
      </c>
      <c r="F30" s="36" t="n">
        <v>-4.59089973491382</v>
      </c>
      <c r="G30" s="19" t="s">
        <v>142</v>
      </c>
    </row>
    <row r="31" customFormat="false" ht="15" hidden="false" customHeight="false" outlineLevel="0" collapsed="false">
      <c r="A31" s="33" t="n">
        <v>1989.929</v>
      </c>
      <c r="B31" s="17" t="n">
        <v>60</v>
      </c>
      <c r="C31" s="17" t="s">
        <v>125</v>
      </c>
      <c r="D31" s="34" t="n">
        <v>17.4205855598351</v>
      </c>
      <c r="E31" s="34" t="n">
        <v>0</v>
      </c>
      <c r="F31" s="34" t="n">
        <v>17.4205855598351</v>
      </c>
      <c r="G31" s="17" t="s">
        <v>143</v>
      </c>
    </row>
    <row r="32" customFormat="false" ht="15" hidden="false" customHeight="false" outlineLevel="0" collapsed="false">
      <c r="A32" s="35" t="n">
        <v>1989.929</v>
      </c>
      <c r="B32" s="19" t="n">
        <v>60</v>
      </c>
      <c r="C32" s="19" t="s">
        <v>127</v>
      </c>
      <c r="D32" s="36" t="n">
        <v>91.0305198619574</v>
      </c>
      <c r="E32" s="36" t="n">
        <v>94.759</v>
      </c>
      <c r="F32" s="36" t="n">
        <v>-3.72848013804264</v>
      </c>
      <c r="G32" s="19" t="s">
        <v>142</v>
      </c>
    </row>
    <row r="33" customFormat="false" ht="15" hidden="false" customHeight="false" outlineLevel="0" collapsed="false">
      <c r="A33" s="33" t="n">
        <v>1989.929</v>
      </c>
      <c r="B33" s="17" t="n">
        <v>90</v>
      </c>
      <c r="C33" s="17" t="s">
        <v>125</v>
      </c>
      <c r="D33" s="34" t="n">
        <v>29.0303366019292</v>
      </c>
      <c r="E33" s="34" t="n">
        <v>0</v>
      </c>
      <c r="F33" s="34" t="n">
        <v>29.0303366019292</v>
      </c>
      <c r="G33" s="17" t="s">
        <v>143</v>
      </c>
    </row>
    <row r="34" customFormat="false" ht="15" hidden="false" customHeight="false" outlineLevel="0" collapsed="false">
      <c r="A34" s="35" t="n">
        <v>1989.929</v>
      </c>
      <c r="B34" s="19" t="n">
        <v>90</v>
      </c>
      <c r="C34" s="19" t="s">
        <v>127</v>
      </c>
      <c r="D34" s="36" t="n">
        <v>92.1501779607845</v>
      </c>
      <c r="E34" s="36" t="n">
        <v>94.759</v>
      </c>
      <c r="F34" s="36" t="n">
        <v>-2.60882203921551</v>
      </c>
      <c r="G34" s="19" t="s">
        <v>142</v>
      </c>
    </row>
    <row r="37" customFormat="false" ht="15" hidden="false" customHeight="false" outlineLevel="0" collapsed="false">
      <c r="A37" s="3" t="s">
        <v>145</v>
      </c>
    </row>
    <row r="38" customFormat="false" ht="15" hidden="false" customHeight="false" outlineLevel="0" collapsed="false">
      <c r="A38" s="16" t="s">
        <v>121</v>
      </c>
      <c r="B38" s="16" t="s">
        <v>138</v>
      </c>
      <c r="C38" s="16" t="s">
        <v>146</v>
      </c>
      <c r="D38" s="16" t="s">
        <v>147</v>
      </c>
      <c r="E38" s="16" t="s">
        <v>148</v>
      </c>
      <c r="F38" s="16" t="s">
        <v>149</v>
      </c>
      <c r="G38" s="16" t="s">
        <v>150</v>
      </c>
    </row>
    <row r="39" customFormat="false" ht="15" hidden="false" customHeight="false" outlineLevel="0" collapsed="false">
      <c r="A39" s="33" t="n">
        <v>1800.411</v>
      </c>
      <c r="B39" s="17" t="n">
        <v>30</v>
      </c>
      <c r="C39" s="34" t="n">
        <f aca="false">SUMPRODUCT(($A$5:$A$34=A39)*($B$5:$B$34=B39)*($C$5:$C$34="Call")*$D$5:$D$34)</f>
        <v>107.311126873706</v>
      </c>
      <c r="D39" s="34" t="n">
        <f aca="false">SUMPRODUCT(($A$5:$A$34=A39)*($B$5:$B$34=B39)*($C$5:$C$34="Put")*$D$5:$D$34)</f>
        <v>2.95914068107911</v>
      </c>
      <c r="E39" s="34" t="n">
        <f aca="false">C39-D39</f>
        <v>104.351986192627</v>
      </c>
      <c r="F39" s="34" t="n">
        <f aca="false">Dashboard!$B$5-A39*EXP(-Dashboard!$B$6*(B39/365))</f>
        <v>104.351986192626</v>
      </c>
      <c r="G39" s="18" t="n">
        <f aca="false">ABS(E39-F39)</f>
        <v>0</v>
      </c>
    </row>
    <row r="40" customFormat="false" ht="15" hidden="false" customHeight="false" outlineLevel="0" collapsed="false">
      <c r="A40" s="33" t="n">
        <v>1800.411</v>
      </c>
      <c r="B40" s="17" t="n">
        <v>60</v>
      </c>
      <c r="C40" s="34" t="n">
        <f aca="false">SUMPRODUCT(($A$5:$A$34=A40)*($B$5:$B$34=B40)*($C$5:$C$34="Call")*$D$5:$D$34)</f>
        <v>121.815960755176</v>
      </c>
      <c r="D40" s="34" t="n">
        <f aca="false">SUMPRODUCT(($A$5:$A$34=A40)*($B$5:$B$34=B40)*($C$5:$C$34="Put")*$D$5:$D$34)</f>
        <v>7.92210191238212</v>
      </c>
      <c r="E40" s="34" t="n">
        <f aca="false">C40-D40</f>
        <v>113.893858842794</v>
      </c>
      <c r="F40" s="34" t="n">
        <f aca="false">Dashboard!$B$5-A40*EXP(-Dashboard!$B$6*(B40/365))</f>
        <v>113.893858842794</v>
      </c>
      <c r="G40" s="18" t="n">
        <f aca="false">ABS(E40-F40)</f>
        <v>0</v>
      </c>
    </row>
    <row r="41" customFormat="false" ht="15" hidden="false" customHeight="false" outlineLevel="0" collapsed="false">
      <c r="A41" s="33" t="n">
        <v>1800.411</v>
      </c>
      <c r="B41" s="17" t="n">
        <v>90</v>
      </c>
      <c r="C41" s="34" t="n">
        <f aca="false">SUMPRODUCT(($A$5:$A$34=A41)*($B$5:$B$34=B41)*($C$5:$C$34="Call")*$D$5:$D$34)</f>
        <v>135.55021684639</v>
      </c>
      <c r="D41" s="34" t="n">
        <f aca="false">SUMPRODUCT(($A$5:$A$34=A41)*($B$5:$B$34=B41)*($C$5:$C$34="Put")*$D$5:$D$34)</f>
        <v>12.1653265516799</v>
      </c>
      <c r="E41" s="34" t="n">
        <f aca="false">C41-D41</f>
        <v>123.38489029471</v>
      </c>
      <c r="F41" s="34" t="n">
        <f aca="false">Dashboard!$B$5-A41*EXP(-Dashboard!$B$6*(B41/365))</f>
        <v>123.38489029471</v>
      </c>
      <c r="G41" s="18" t="n">
        <f aca="false">ABS(E41-F41)</f>
        <v>0</v>
      </c>
    </row>
    <row r="42" customFormat="false" ht="15" hidden="false" customHeight="false" outlineLevel="0" collapsed="false">
      <c r="A42" s="33" t="n">
        <v>1857.267</v>
      </c>
      <c r="B42" s="17" t="n">
        <v>30</v>
      </c>
      <c r="C42" s="34" t="n">
        <f aca="false">SUMPRODUCT(($A$5:$A$34=A42)*($B$5:$B$34=B42)*($C$5:$C$34="Call")*$D$5:$D$34)</f>
        <v>60.419788955063</v>
      </c>
      <c r="D42" s="34" t="n">
        <f aca="false">SUMPRODUCT(($A$5:$A$34=A42)*($B$5:$B$34=B42)*($C$5:$C$34="Put")*$D$5:$D$34)</f>
        <v>12.6208614768261</v>
      </c>
      <c r="E42" s="34" t="n">
        <f aca="false">C42-D42</f>
        <v>47.798927478237</v>
      </c>
      <c r="F42" s="34" t="n">
        <f aca="false">Dashboard!$B$5-A42*EXP(-Dashboard!$B$6*(B42/365))</f>
        <v>47.7989274782372</v>
      </c>
      <c r="G42" s="18" t="n">
        <f aca="false">ABS(E42-F42)</f>
        <v>0</v>
      </c>
    </row>
    <row r="43" customFormat="false" ht="15" hidden="false" customHeight="false" outlineLevel="0" collapsed="false">
      <c r="A43" s="33" t="n">
        <v>1857.267</v>
      </c>
      <c r="B43" s="17" t="n">
        <v>60</v>
      </c>
      <c r="C43" s="34" t="n">
        <f aca="false">SUMPRODUCT(($A$5:$A$34=A43)*($B$5:$B$34=B43)*($C$5:$C$34="Call")*$D$5:$D$34)</f>
        <v>78.2069592749665</v>
      </c>
      <c r="D43" s="34" t="n">
        <f aca="false">SUMPRODUCT(($A$5:$A$34=A43)*($B$5:$B$34=B43)*($C$5:$C$34="Put")*$D$5:$D$34)</f>
        <v>20.564831998817</v>
      </c>
      <c r="E43" s="34" t="n">
        <f aca="false">C43-D43</f>
        <v>57.6421272761495</v>
      </c>
      <c r="F43" s="34" t="n">
        <f aca="false">Dashboard!$B$5-A43*EXP(-Dashboard!$B$6*(B43/365))</f>
        <v>57.6421272761493</v>
      </c>
      <c r="G43" s="18" t="n">
        <f aca="false">ABS(E43-F43)</f>
        <v>2.27373675443232E-013</v>
      </c>
    </row>
    <row r="44" customFormat="false" ht="15" hidden="false" customHeight="false" outlineLevel="0" collapsed="false">
      <c r="A44" s="33" t="n">
        <v>1857.267</v>
      </c>
      <c r="B44" s="17" t="n">
        <v>90</v>
      </c>
      <c r="C44" s="34" t="n">
        <f aca="false">SUMPRODUCT(($A$5:$A$34=A44)*($B$5:$B$34=B44)*($C$5:$C$34="Call")*$D$5:$D$34)</f>
        <v>93.4488749990635</v>
      </c>
      <c r="D44" s="34" t="n">
        <f aca="false">SUMPRODUCT(($A$5:$A$34=A44)*($B$5:$B$34=B44)*($C$5:$C$34="Put")*$D$5:$D$34)</f>
        <v>26.0159946606379</v>
      </c>
      <c r="E44" s="34" t="n">
        <f aca="false">C44-D44</f>
        <v>67.4328803384255</v>
      </c>
      <c r="F44" s="34" t="n">
        <f aca="false">Dashboard!$B$5-A44*EXP(-Dashboard!$B$6*(B44/365))</f>
        <v>67.4328803384256</v>
      </c>
      <c r="G44" s="18" t="n">
        <f aca="false">ABS(E44-F44)</f>
        <v>0</v>
      </c>
    </row>
    <row r="45" customFormat="false" ht="15" hidden="false" customHeight="false" outlineLevel="0" collapsed="false">
      <c r="A45" s="33" t="n">
        <v>1895.17</v>
      </c>
      <c r="B45" s="17" t="n">
        <v>30</v>
      </c>
      <c r="C45" s="34" t="n">
        <f aca="false">SUMPRODUCT(($A$5:$A$34=A45)*($B$5:$B$34=B45)*($C$5:$C$34="Call")*$D$5:$D$34)</f>
        <v>36.4198878805189</v>
      </c>
      <c r="D45" s="34" t="n">
        <f aca="false">SUMPRODUCT(($A$5:$A$34=A45)*($B$5:$B$34=B45)*($C$5:$C$34="Put")*$D$5:$D$34)</f>
        <v>26.3220048734283</v>
      </c>
      <c r="E45" s="34" t="n">
        <f aca="false">C45-D45</f>
        <v>10.0978830070906</v>
      </c>
      <c r="F45" s="34" t="n">
        <f aca="false">Dashboard!$B$5-A45*EXP(-Dashboard!$B$6*(B45/365))</f>
        <v>10.0978830070908</v>
      </c>
      <c r="G45" s="18" t="n">
        <f aca="false">ABS(E45-F45)</f>
        <v>2.27373675443232E-013</v>
      </c>
    </row>
    <row r="46" customFormat="false" ht="15" hidden="false" customHeight="false" outlineLevel="0" collapsed="false">
      <c r="A46" s="33" t="n">
        <v>1895.17</v>
      </c>
      <c r="B46" s="17" t="n">
        <v>60</v>
      </c>
      <c r="C46" s="34" t="n">
        <f aca="false">SUMPRODUCT(($A$5:$A$34=A46)*($B$5:$B$34=B46)*($C$5:$C$34="Call")*$D$5:$D$34)</f>
        <v>54.6812836842557</v>
      </c>
      <c r="D46" s="34" t="n">
        <f aca="false">SUMPRODUCT(($A$5:$A$34=A46)*($B$5:$B$34=B46)*($C$5:$C$34="Put")*$D$5:$D$34)</f>
        <v>34.5393214139199</v>
      </c>
      <c r="E46" s="34" t="n">
        <f aca="false">C46-D46</f>
        <v>20.1419622703359</v>
      </c>
      <c r="F46" s="34" t="n">
        <f aca="false">Dashboard!$B$5-A46*EXP(-Dashboard!$B$6*(B46/365))</f>
        <v>20.1419622703359</v>
      </c>
      <c r="G46" s="18" t="n">
        <f aca="false">ABS(E46-F46)</f>
        <v>0</v>
      </c>
    </row>
    <row r="47" customFormat="false" ht="15" hidden="false" customHeight="false" outlineLevel="0" collapsed="false">
      <c r="A47" s="33" t="n">
        <v>1895.17</v>
      </c>
      <c r="B47" s="17" t="n">
        <v>90</v>
      </c>
      <c r="C47" s="34" t="n">
        <f aca="false">SUMPRODUCT(($A$5:$A$34=A47)*($B$5:$B$34=B47)*($C$5:$C$34="Call")*$D$5:$D$34)</f>
        <v>69.999633127306</v>
      </c>
      <c r="D47" s="34" t="n">
        <f aca="false">SUMPRODUCT(($A$5:$A$34=A47)*($B$5:$B$34=B47)*($C$5:$C$34="Put")*$D$5:$D$34)</f>
        <v>39.8671086593789</v>
      </c>
      <c r="E47" s="34" t="n">
        <f aca="false">C47-D47</f>
        <v>30.1325244679271</v>
      </c>
      <c r="F47" s="34" t="n">
        <f aca="false">Dashboard!$B$5-A47*EXP(-Dashboard!$B$6*(B47/365))</f>
        <v>30.1325244679272</v>
      </c>
      <c r="G47" s="18" t="n">
        <f aca="false">ABS(E47-F47)</f>
        <v>0</v>
      </c>
    </row>
    <row r="48" customFormat="false" ht="15" hidden="false" customHeight="false" outlineLevel="0" collapsed="false">
      <c r="A48" s="33" t="n">
        <v>1933.073</v>
      </c>
      <c r="B48" s="17" t="n">
        <v>30</v>
      </c>
      <c r="C48" s="34" t="n">
        <f aca="false">SUMPRODUCT(($A$5:$A$34=A48)*($B$5:$B$34=B48)*($C$5:$C$34="Call")*$D$5:$D$34)</f>
        <v>19.5289273264003</v>
      </c>
      <c r="D48" s="34" t="n">
        <f aca="false">SUMPRODUCT(($A$5:$A$34=A48)*($B$5:$B$34=B48)*($C$5:$C$34="Put")*$D$5:$D$34)</f>
        <v>47.1320887904556</v>
      </c>
      <c r="E48" s="34" t="n">
        <f aca="false">C48-D48</f>
        <v>-27.6031614640552</v>
      </c>
      <c r="F48" s="34" t="n">
        <f aca="false">Dashboard!$B$5-A48*EXP(-Dashboard!$B$6*(B48/365))</f>
        <v>-27.6031614640553</v>
      </c>
      <c r="G48" s="18" t="n">
        <f aca="false">ABS(E48-F48)</f>
        <v>1.06581410364015E-013</v>
      </c>
    </row>
    <row r="49" customFormat="false" ht="15" hidden="false" customHeight="false" outlineLevel="0" collapsed="false">
      <c r="A49" s="33" t="n">
        <v>1933.073</v>
      </c>
      <c r="B49" s="17" t="n">
        <v>60</v>
      </c>
      <c r="C49" s="34" t="n">
        <f aca="false">SUMPRODUCT(($A$5:$A$34=A49)*($B$5:$B$34=B49)*($C$5:$C$34="Call")*$D$5:$D$34)</f>
        <v>36.1739691218886</v>
      </c>
      <c r="D49" s="34" t="n">
        <f aca="false">SUMPRODUCT(($A$5:$A$34=A49)*($B$5:$B$34=B49)*($C$5:$C$34="Put")*$D$5:$D$34)</f>
        <v>53.5321718573662</v>
      </c>
      <c r="E49" s="34" t="n">
        <f aca="false">C49-D49</f>
        <v>-17.3582027354776</v>
      </c>
      <c r="F49" s="34" t="n">
        <f aca="false">Dashboard!$B$5-A49*EXP(-Dashboard!$B$6*(B49/365))</f>
        <v>-17.3582027354776</v>
      </c>
      <c r="G49" s="18" t="n">
        <f aca="false">ABS(E49-F49)</f>
        <v>0</v>
      </c>
    </row>
    <row r="50" customFormat="false" ht="15" hidden="false" customHeight="false" outlineLevel="0" collapsed="false">
      <c r="A50" s="33" t="n">
        <v>1933.073</v>
      </c>
      <c r="B50" s="17" t="n">
        <v>90</v>
      </c>
      <c r="C50" s="34" t="n">
        <f aca="false">SUMPRODUCT(($A$5:$A$34=A50)*($B$5:$B$34=B50)*($C$5:$C$34="Call")*$D$5:$D$34)</f>
        <v>50.6150517522503</v>
      </c>
      <c r="D50" s="34" t="n">
        <f aca="false">SUMPRODUCT(($A$5:$A$34=A50)*($B$5:$B$34=B50)*($C$5:$C$34="Put")*$D$5:$D$34)</f>
        <v>57.7828831548212</v>
      </c>
      <c r="E50" s="34" t="n">
        <f aca="false">C50-D50</f>
        <v>-7.16783140257087</v>
      </c>
      <c r="F50" s="34" t="n">
        <f aca="false">Dashboard!$B$5-A50*EXP(-Dashboard!$B$6*(B50/365))</f>
        <v>-7.16783140257098</v>
      </c>
      <c r="G50" s="18" t="n">
        <f aca="false">ABS(E50-F50)</f>
        <v>1.13686837721616E-013</v>
      </c>
    </row>
    <row r="51" customFormat="false" ht="15" hidden="false" customHeight="false" outlineLevel="0" collapsed="false">
      <c r="A51" s="33" t="n">
        <v>1989.929</v>
      </c>
      <c r="B51" s="17" t="n">
        <v>30</v>
      </c>
      <c r="C51" s="34" t="n">
        <f aca="false">SUMPRODUCT(($A$5:$A$34=A51)*($B$5:$B$34=B51)*($C$5:$C$34="Call")*$D$5:$D$34)</f>
        <v>6.01188008664138</v>
      </c>
      <c r="D51" s="34" t="n">
        <f aca="false">SUMPRODUCT(($A$5:$A$34=A51)*($B$5:$B$34=B51)*($C$5:$C$34="Put")*$D$5:$D$34)</f>
        <v>90.1681002650862</v>
      </c>
      <c r="E51" s="34" t="n">
        <f aca="false">C51-D51</f>
        <v>-84.1562201784448</v>
      </c>
      <c r="F51" s="34" t="n">
        <f aca="false">Dashboard!$B$5-A51*EXP(-Dashboard!$B$6*(B51/365))</f>
        <v>-84.1562201784445</v>
      </c>
      <c r="G51" s="18" t="n">
        <f aca="false">ABS(E51-F51)</f>
        <v>0</v>
      </c>
    </row>
    <row r="52" customFormat="false" ht="15" hidden="false" customHeight="false" outlineLevel="0" collapsed="false">
      <c r="A52" s="33" t="n">
        <v>1989.929</v>
      </c>
      <c r="B52" s="17" t="n">
        <v>60</v>
      </c>
      <c r="C52" s="34" t="n">
        <f aca="false">SUMPRODUCT(($A$5:$A$34=A52)*($B$5:$B$34=B52)*($C$5:$C$34="Call")*$D$5:$D$34)</f>
        <v>17.4205855598351</v>
      </c>
      <c r="D52" s="34" t="n">
        <f aca="false">SUMPRODUCT(($A$5:$A$34=A52)*($B$5:$B$34=B52)*($C$5:$C$34="Put")*$D$5:$D$34)</f>
        <v>91.0305198619574</v>
      </c>
      <c r="E52" s="34" t="n">
        <f aca="false">C52-D52</f>
        <v>-73.6099343021223</v>
      </c>
      <c r="F52" s="34" t="n">
        <f aca="false">Dashboard!$B$5-A52*EXP(-Dashboard!$B$6*(B52/365))</f>
        <v>-73.6099343021222</v>
      </c>
      <c r="G52" s="18" t="n">
        <f aca="false">ABS(E52-F52)</f>
        <v>0</v>
      </c>
    </row>
    <row r="53" customFormat="false" ht="15" hidden="false" customHeight="false" outlineLevel="0" collapsed="false">
      <c r="A53" s="33" t="n">
        <v>1989.929</v>
      </c>
      <c r="B53" s="17" t="n">
        <v>90</v>
      </c>
      <c r="C53" s="34" t="n">
        <f aca="false">SUMPRODUCT(($A$5:$A$34=A53)*($B$5:$B$34=B53)*($C$5:$C$34="Call")*$D$5:$D$34)</f>
        <v>29.0303366019292</v>
      </c>
      <c r="D53" s="34" t="n">
        <f aca="false">SUMPRODUCT(($A$5:$A$34=A53)*($B$5:$B$34=B53)*($C$5:$C$34="Put")*$D$5:$D$34)</f>
        <v>92.1501779607845</v>
      </c>
      <c r="E53" s="34" t="n">
        <f aca="false">C53-D53</f>
        <v>-63.1198413588553</v>
      </c>
      <c r="F53" s="34" t="n">
        <f aca="false">Dashboard!$B$5-A53*EXP(-Dashboard!$B$6*(B53/365))</f>
        <v>-63.1198413588554</v>
      </c>
      <c r="G53" s="18" t="n">
        <f aca="false">ABS(E53-F53)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10" min="8" style="0" width="10"/>
  </cols>
  <sheetData>
    <row r="1" customFormat="false" ht="17.35" hidden="false" customHeight="false" outlineLevel="0" collapsed="false">
      <c r="A1" s="1" t="s">
        <v>151</v>
      </c>
    </row>
    <row r="2" customFormat="false" ht="15" hidden="false" customHeight="false" outlineLevel="0" collapsed="false">
      <c r="A2" s="2" t="s">
        <v>152</v>
      </c>
    </row>
    <row r="4" customFormat="false" ht="23.85" hidden="false" customHeight="false" outlineLevel="0" collapsed="false">
      <c r="A4" s="16" t="s">
        <v>153</v>
      </c>
      <c r="B4" s="16" t="s">
        <v>154</v>
      </c>
      <c r="C4" s="16" t="s">
        <v>121</v>
      </c>
      <c r="D4" s="16" t="s">
        <v>138</v>
      </c>
      <c r="E4" s="16" t="s">
        <v>120</v>
      </c>
      <c r="F4" s="16" t="s">
        <v>155</v>
      </c>
      <c r="G4" s="16" t="s">
        <v>156</v>
      </c>
      <c r="H4" s="16" t="s">
        <v>157</v>
      </c>
      <c r="I4" s="16" t="s">
        <v>158</v>
      </c>
      <c r="J4" s="16" t="s">
        <v>159</v>
      </c>
    </row>
    <row r="5" customFormat="false" ht="15" hidden="false" customHeight="false" outlineLevel="0" collapsed="false">
      <c r="A5" s="17" t="s">
        <v>160</v>
      </c>
      <c r="B5" s="29" t="n">
        <v>0.143921204813132</v>
      </c>
      <c r="C5" s="33" t="n">
        <v>1800.411</v>
      </c>
      <c r="D5" s="17" t="n">
        <v>30</v>
      </c>
      <c r="E5" s="17" t="s">
        <v>125</v>
      </c>
      <c r="F5" s="27" t="n">
        <v>0.918229668192998</v>
      </c>
      <c r="G5" s="18" t="n">
        <v>0.0019328645479678</v>
      </c>
      <c r="H5" s="27" t="n">
        <v>0.821203785563872</v>
      </c>
      <c r="I5" s="27" t="n">
        <v>-0.487769728269731</v>
      </c>
      <c r="J5" s="27" t="n">
        <v>1.34210152881832</v>
      </c>
    </row>
    <row r="6" customFormat="false" ht="15" hidden="false" customHeight="false" outlineLevel="0" collapsed="false">
      <c r="A6" s="19" t="s">
        <v>160</v>
      </c>
      <c r="B6" s="32" t="n">
        <v>0.143921204813132</v>
      </c>
      <c r="C6" s="35" t="n">
        <v>1800.411</v>
      </c>
      <c r="D6" s="19" t="n">
        <v>30</v>
      </c>
      <c r="E6" s="19" t="s">
        <v>127</v>
      </c>
      <c r="F6" s="30" t="n">
        <v>-0.0817703318070022</v>
      </c>
      <c r="G6" s="20" t="n">
        <v>0.0019328645479678</v>
      </c>
      <c r="H6" s="30" t="n">
        <v>0.821203785563872</v>
      </c>
      <c r="I6" s="30" t="n">
        <v>-0.168856931290335</v>
      </c>
      <c r="J6" s="30" t="n">
        <v>-0.129803688009662</v>
      </c>
    </row>
    <row r="7" customFormat="false" ht="15" hidden="false" customHeight="false" outlineLevel="0" collapsed="false">
      <c r="A7" s="17" t="s">
        <v>160</v>
      </c>
      <c r="B7" s="29" t="n">
        <v>0.143921204813132</v>
      </c>
      <c r="C7" s="33" t="n">
        <v>1800.411</v>
      </c>
      <c r="D7" s="17" t="n">
        <v>60</v>
      </c>
      <c r="E7" s="17" t="s">
        <v>125</v>
      </c>
      <c r="F7" s="27" t="n">
        <v>0.862435917932939</v>
      </c>
      <c r="G7" s="18" t="n">
        <v>0.0019887756520226</v>
      </c>
      <c r="H7" s="27" t="n">
        <v>1.68991675675918</v>
      </c>
      <c r="I7" s="27" t="n">
        <v>-0.472054489290809</v>
      </c>
      <c r="J7" s="27" t="n">
        <v>2.48654254986377</v>
      </c>
    </row>
    <row r="8" customFormat="false" ht="15" hidden="false" customHeight="false" outlineLevel="0" collapsed="false">
      <c r="A8" s="19" t="s">
        <v>160</v>
      </c>
      <c r="B8" s="32" t="n">
        <v>0.143921204813132</v>
      </c>
      <c r="C8" s="35" t="n">
        <v>1800.411</v>
      </c>
      <c r="D8" s="19" t="n">
        <v>60</v>
      </c>
      <c r="E8" s="19" t="s">
        <v>127</v>
      </c>
      <c r="F8" s="30" t="n">
        <v>-0.137564082067061</v>
      </c>
      <c r="G8" s="20" t="n">
        <v>0.0019887756520226</v>
      </c>
      <c r="H8" s="30" t="n">
        <v>1.68991675675918</v>
      </c>
      <c r="I8" s="30" t="n">
        <v>-0.154840929906649</v>
      </c>
      <c r="J8" s="30" t="n">
        <v>-0.441582613682325</v>
      </c>
    </row>
    <row r="9" customFormat="false" ht="15" hidden="false" customHeight="false" outlineLevel="0" collapsed="false">
      <c r="A9" s="17" t="s">
        <v>160</v>
      </c>
      <c r="B9" s="29" t="n">
        <v>0.143921204813132</v>
      </c>
      <c r="C9" s="33" t="n">
        <v>1800.411</v>
      </c>
      <c r="D9" s="17" t="n">
        <v>90</v>
      </c>
      <c r="E9" s="17" t="s">
        <v>125</v>
      </c>
      <c r="F9" s="27" t="n">
        <v>0.8358967240384</v>
      </c>
      <c r="G9" s="18" t="n">
        <v>0.0018263245065616</v>
      </c>
      <c r="H9" s="27" t="n">
        <v>2.32781640084398</v>
      </c>
      <c r="I9" s="27" t="n">
        <v>-0.444096155627881</v>
      </c>
      <c r="J9" s="27" t="n">
        <v>3.57193030105348</v>
      </c>
    </row>
    <row r="10" customFormat="false" ht="15" hidden="false" customHeight="false" outlineLevel="0" collapsed="false">
      <c r="A10" s="19" t="s">
        <v>160</v>
      </c>
      <c r="B10" s="32" t="n">
        <v>0.143921204813132</v>
      </c>
      <c r="C10" s="35" t="n">
        <v>1800.411</v>
      </c>
      <c r="D10" s="19" t="n">
        <v>90</v>
      </c>
      <c r="E10" s="19" t="s">
        <v>127</v>
      </c>
      <c r="F10" s="30" t="n">
        <v>-0.1641032759616</v>
      </c>
      <c r="G10" s="20" t="n">
        <v>0.0018263245065616</v>
      </c>
      <c r="H10" s="30" t="n">
        <v>2.32781640084398</v>
      </c>
      <c r="I10" s="30" t="n">
        <v>-0.128572779926939</v>
      </c>
      <c r="J10" s="30" t="n">
        <v>-0.796854900959568</v>
      </c>
    </row>
    <row r="11" customFormat="false" ht="15" hidden="false" customHeight="false" outlineLevel="0" collapsed="false">
      <c r="A11" s="17" t="s">
        <v>160</v>
      </c>
      <c r="B11" s="29" t="n">
        <v>0.143921204813132</v>
      </c>
      <c r="C11" s="33" t="n">
        <v>1857.267</v>
      </c>
      <c r="D11" s="17" t="n">
        <v>30</v>
      </c>
      <c r="E11" s="17" t="s">
        <v>125</v>
      </c>
      <c r="F11" s="27" t="n">
        <v>0.738828580612557</v>
      </c>
      <c r="G11" s="18" t="n">
        <v>0.0041576905603039</v>
      </c>
      <c r="H11" s="27" t="n">
        <v>1.76645136924601</v>
      </c>
      <c r="I11" s="27" t="n">
        <v>-0.662308371283061</v>
      </c>
      <c r="J11" s="27" t="n">
        <v>1.10119394972419</v>
      </c>
    </row>
    <row r="12" customFormat="false" ht="15" hidden="false" customHeight="false" outlineLevel="0" collapsed="false">
      <c r="A12" s="19" t="s">
        <v>160</v>
      </c>
      <c r="B12" s="32" t="n">
        <v>0.143921204813132</v>
      </c>
      <c r="C12" s="35" t="n">
        <v>1857.267</v>
      </c>
      <c r="D12" s="19" t="n">
        <v>30</v>
      </c>
      <c r="E12" s="19" t="s">
        <v>127</v>
      </c>
      <c r="F12" s="30" t="n">
        <v>-0.261171419387443</v>
      </c>
      <c r="G12" s="20" t="n">
        <v>0.0041576905603039</v>
      </c>
      <c r="H12" s="30" t="n">
        <v>1.76645136924601</v>
      </c>
      <c r="I12" s="30" t="n">
        <v>-0.333324481655898</v>
      </c>
      <c r="J12" s="30" t="n">
        <v>-0.417193233170405</v>
      </c>
    </row>
    <row r="13" customFormat="false" ht="15" hidden="false" customHeight="false" outlineLevel="0" collapsed="false">
      <c r="A13" s="17" t="s">
        <v>160</v>
      </c>
      <c r="B13" s="29" t="n">
        <v>0.143921204813132</v>
      </c>
      <c r="C13" s="33" t="n">
        <v>1857.267</v>
      </c>
      <c r="D13" s="17" t="n">
        <v>60</v>
      </c>
      <c r="E13" s="17" t="s">
        <v>125</v>
      </c>
      <c r="F13" s="27" t="n">
        <v>0.711751002225943</v>
      </c>
      <c r="G13" s="18" t="n">
        <v>0.0030865483051857</v>
      </c>
      <c r="H13" s="27" t="n">
        <v>2.62272403434503</v>
      </c>
      <c r="I13" s="27" t="n">
        <v>-0.540840538123154</v>
      </c>
      <c r="J13" s="27" t="n">
        <v>2.088792637173</v>
      </c>
    </row>
    <row r="14" customFormat="false" ht="15" hidden="false" customHeight="false" outlineLevel="0" collapsed="false">
      <c r="A14" s="19" t="s">
        <v>160</v>
      </c>
      <c r="B14" s="32" t="n">
        <v>0.143921204813132</v>
      </c>
      <c r="C14" s="35" t="n">
        <v>1857.267</v>
      </c>
      <c r="D14" s="19" t="n">
        <v>60</v>
      </c>
      <c r="E14" s="19" t="s">
        <v>127</v>
      </c>
      <c r="F14" s="30" t="n">
        <v>-0.288248997774057</v>
      </c>
      <c r="G14" s="20" t="n">
        <v>0.0030865483051857</v>
      </c>
      <c r="H14" s="30" t="n">
        <v>2.62272403434503</v>
      </c>
      <c r="I14" s="30" t="n">
        <v>-0.213609547090139</v>
      </c>
      <c r="J14" s="30" t="n">
        <v>-0.931801126208675</v>
      </c>
    </row>
    <row r="15" customFormat="false" ht="15" hidden="false" customHeight="false" outlineLevel="0" collapsed="false">
      <c r="A15" s="17" t="s">
        <v>160</v>
      </c>
      <c r="B15" s="29" t="n">
        <v>0.143921204813132</v>
      </c>
      <c r="C15" s="33" t="n">
        <v>1857.267</v>
      </c>
      <c r="D15" s="17" t="n">
        <v>90</v>
      </c>
      <c r="E15" s="17" t="s">
        <v>125</v>
      </c>
      <c r="F15" s="27" t="n">
        <v>0.706326875687166</v>
      </c>
      <c r="G15" s="18" t="n">
        <v>0.0025422060275415</v>
      </c>
      <c r="H15" s="27" t="n">
        <v>3.24027239626601</v>
      </c>
      <c r="I15" s="27" t="n">
        <v>-0.480820882549795</v>
      </c>
      <c r="J15" s="27" t="n">
        <v>3.07025908766379</v>
      </c>
    </row>
    <row r="16" customFormat="false" ht="15" hidden="false" customHeight="false" outlineLevel="0" collapsed="false">
      <c r="A16" s="19" t="s">
        <v>160</v>
      </c>
      <c r="B16" s="32" t="n">
        <v>0.143921204813132</v>
      </c>
      <c r="C16" s="35" t="n">
        <v>1857.267</v>
      </c>
      <c r="D16" s="19" t="n">
        <v>90</v>
      </c>
      <c r="E16" s="19" t="s">
        <v>127</v>
      </c>
      <c r="F16" s="30" t="n">
        <v>-0.293673124312834</v>
      </c>
      <c r="G16" s="20" t="n">
        <v>0.0025422060275415</v>
      </c>
      <c r="H16" s="30" t="n">
        <v>3.24027239626601</v>
      </c>
      <c r="I16" s="30" t="n">
        <v>-0.155333450281296</v>
      </c>
      <c r="J16" s="30" t="n">
        <v>-1.43648997451543</v>
      </c>
    </row>
    <row r="17" customFormat="false" ht="15" hidden="false" customHeight="false" outlineLevel="0" collapsed="false">
      <c r="A17" s="17" t="s">
        <v>160</v>
      </c>
      <c r="B17" s="29" t="n">
        <v>0.143921204813132</v>
      </c>
      <c r="C17" s="33" t="n">
        <v>1895.17</v>
      </c>
      <c r="D17" s="17" t="n">
        <v>30</v>
      </c>
      <c r="E17" s="17" t="s">
        <v>125</v>
      </c>
      <c r="F17" s="27" t="n">
        <v>0.559661276408063</v>
      </c>
      <c r="G17" s="18" t="n">
        <v>0.0050446367410742</v>
      </c>
      <c r="H17" s="27" t="n">
        <v>2.14328251450433</v>
      </c>
      <c r="I17" s="27" t="n">
        <v>-0.69650406025493</v>
      </c>
      <c r="J17" s="27" t="n">
        <v>0.841835649312123</v>
      </c>
    </row>
    <row r="18" customFormat="false" ht="15" hidden="false" customHeight="false" outlineLevel="0" collapsed="false">
      <c r="A18" s="19" t="s">
        <v>160</v>
      </c>
      <c r="B18" s="32" t="n">
        <v>0.143921204813132</v>
      </c>
      <c r="C18" s="35" t="n">
        <v>1895.17</v>
      </c>
      <c r="D18" s="19" t="n">
        <v>30</v>
      </c>
      <c r="E18" s="19" t="s">
        <v>127</v>
      </c>
      <c r="F18" s="30" t="n">
        <v>-0.440338723591937</v>
      </c>
      <c r="G18" s="20" t="n">
        <v>0.0050446367410742</v>
      </c>
      <c r="H18" s="30" t="n">
        <v>2.14328251450433</v>
      </c>
      <c r="I18" s="30" t="n">
        <v>-0.360806285995918</v>
      </c>
      <c r="J18" s="30" t="n">
        <v>-0.707538693421775</v>
      </c>
    </row>
    <row r="19" customFormat="false" ht="15" hidden="false" customHeight="false" outlineLevel="0" collapsed="false">
      <c r="A19" s="17" t="s">
        <v>160</v>
      </c>
      <c r="B19" s="29" t="n">
        <v>0.143921204813132</v>
      </c>
      <c r="C19" s="33" t="n">
        <v>1895.17</v>
      </c>
      <c r="D19" s="17" t="n">
        <v>60</v>
      </c>
      <c r="E19" s="17" t="s">
        <v>125</v>
      </c>
      <c r="F19" s="27" t="n">
        <v>0.584058932814006</v>
      </c>
      <c r="G19" s="18" t="n">
        <v>0.0035271334181448</v>
      </c>
      <c r="H19" s="27" t="n">
        <v>2.99710118664523</v>
      </c>
      <c r="I19" s="27" t="n">
        <v>-0.54683515151677</v>
      </c>
      <c r="J19" s="27" t="n">
        <v>1.72965975454827</v>
      </c>
    </row>
    <row r="20" customFormat="false" ht="15" hidden="false" customHeight="false" outlineLevel="0" collapsed="false">
      <c r="A20" s="19" t="s">
        <v>160</v>
      </c>
      <c r="B20" s="32" t="n">
        <v>0.143921204813132</v>
      </c>
      <c r="C20" s="35" t="n">
        <v>1895.17</v>
      </c>
      <c r="D20" s="19" t="n">
        <v>60</v>
      </c>
      <c r="E20" s="19" t="s">
        <v>127</v>
      </c>
      <c r="F20" s="30" t="n">
        <v>-0.415941067185994</v>
      </c>
      <c r="G20" s="20" t="n">
        <v>0.0035271334181448</v>
      </c>
      <c r="H20" s="30" t="n">
        <v>2.99710118664523</v>
      </c>
      <c r="I20" s="30" t="n">
        <v>-0.212926048907378</v>
      </c>
      <c r="J20" s="30" t="n">
        <v>-1.35257811569228</v>
      </c>
    </row>
    <row r="21" customFormat="false" ht="15" hidden="false" customHeight="false" outlineLevel="0" collapsed="false">
      <c r="A21" s="17" t="s">
        <v>160</v>
      </c>
      <c r="B21" s="29" t="n">
        <v>0.143921204813132</v>
      </c>
      <c r="C21" s="33" t="n">
        <v>1895.17</v>
      </c>
      <c r="D21" s="17" t="n">
        <v>90</v>
      </c>
      <c r="E21" s="17" t="s">
        <v>125</v>
      </c>
      <c r="F21" s="27" t="n">
        <v>0.602567723008313</v>
      </c>
      <c r="G21" s="18" t="n">
        <v>0.0028476279376749</v>
      </c>
      <c r="H21" s="27" t="n">
        <v>3.62956035086073</v>
      </c>
      <c r="I21" s="27" t="n">
        <v>-0.481104468349649</v>
      </c>
      <c r="J21" s="27" t="n">
        <v>2.64321034147321</v>
      </c>
    </row>
    <row r="22" customFormat="false" ht="15" hidden="false" customHeight="false" outlineLevel="0" collapsed="false">
      <c r="A22" s="19" t="s">
        <v>160</v>
      </c>
      <c r="B22" s="32" t="n">
        <v>0.143921204813132</v>
      </c>
      <c r="C22" s="35" t="n">
        <v>1895.17</v>
      </c>
      <c r="D22" s="19" t="n">
        <v>90</v>
      </c>
      <c r="E22" s="19" t="s">
        <v>127</v>
      </c>
      <c r="F22" s="30" t="n">
        <v>-0.397432276991687</v>
      </c>
      <c r="G22" s="20" t="n">
        <v>0.0028476279376749</v>
      </c>
      <c r="H22" s="30" t="n">
        <v>3.62956035086073</v>
      </c>
      <c r="I22" s="30" t="n">
        <v>-0.148974506953526</v>
      </c>
      <c r="J22" s="30" t="n">
        <v>-1.95551220093464</v>
      </c>
    </row>
    <row r="23" customFormat="false" ht="15" hidden="false" customHeight="false" outlineLevel="0" collapsed="false">
      <c r="A23" s="17" t="s">
        <v>160</v>
      </c>
      <c r="B23" s="29" t="n">
        <v>0.143921204813132</v>
      </c>
      <c r="C23" s="33" t="n">
        <v>1933.073</v>
      </c>
      <c r="D23" s="17" t="n">
        <v>30</v>
      </c>
      <c r="E23" s="17" t="s">
        <v>125</v>
      </c>
      <c r="F23" s="27" t="n">
        <v>0.370767587767503</v>
      </c>
      <c r="G23" s="18" t="n">
        <v>0.0048317139585656</v>
      </c>
      <c r="H23" s="27" t="n">
        <v>2.05281937511223</v>
      </c>
      <c r="I23" s="27" t="n">
        <v>-0.614061896660938</v>
      </c>
      <c r="J23" s="27" t="n">
        <v>0.561483848205155</v>
      </c>
    </row>
    <row r="24" customFormat="false" ht="15" hidden="false" customHeight="false" outlineLevel="0" collapsed="false">
      <c r="A24" s="19" t="s">
        <v>160</v>
      </c>
      <c r="B24" s="32" t="n">
        <v>0.143921204813132</v>
      </c>
      <c r="C24" s="35" t="n">
        <v>1933.073</v>
      </c>
      <c r="D24" s="19" t="n">
        <v>30</v>
      </c>
      <c r="E24" s="19" t="s">
        <v>127</v>
      </c>
      <c r="F24" s="30" t="n">
        <v>-0.629232412232497</v>
      </c>
      <c r="G24" s="20" t="n">
        <v>0.0048317139585656</v>
      </c>
      <c r="H24" s="30" t="n">
        <v>2.05281937511223</v>
      </c>
      <c r="I24" s="30" t="n">
        <v>-0.271650237770079</v>
      </c>
      <c r="J24" s="30" t="n">
        <v>-1.01887765436804</v>
      </c>
    </row>
    <row r="25" customFormat="false" ht="15" hidden="false" customHeight="false" outlineLevel="0" collapsed="false">
      <c r="A25" s="17" t="s">
        <v>160</v>
      </c>
      <c r="B25" s="29" t="n">
        <v>0.143921204813132</v>
      </c>
      <c r="C25" s="33" t="n">
        <v>1933.073</v>
      </c>
      <c r="D25" s="17" t="n">
        <v>60</v>
      </c>
      <c r="E25" s="17" t="s">
        <v>125</v>
      </c>
      <c r="F25" s="27" t="n">
        <v>0.44944069175941</v>
      </c>
      <c r="G25" s="18" t="n">
        <v>0.0035785033838742</v>
      </c>
      <c r="H25" s="27" t="n">
        <v>3.04075164354414</v>
      </c>
      <c r="I25" s="27" t="n">
        <v>-0.509933041709826</v>
      </c>
      <c r="J25" s="27" t="n">
        <v>1.3407000767339</v>
      </c>
    </row>
    <row r="26" customFormat="false" ht="15" hidden="false" customHeight="false" outlineLevel="0" collapsed="false">
      <c r="A26" s="19" t="s">
        <v>160</v>
      </c>
      <c r="B26" s="32" t="n">
        <v>0.143921204813132</v>
      </c>
      <c r="C26" s="35" t="n">
        <v>1933.073</v>
      </c>
      <c r="D26" s="19" t="n">
        <v>60</v>
      </c>
      <c r="E26" s="19" t="s">
        <v>127</v>
      </c>
      <c r="F26" s="30" t="n">
        <v>-0.55055930824059</v>
      </c>
      <c r="G26" s="20" t="n">
        <v>0.0035785033838742</v>
      </c>
      <c r="H26" s="30" t="n">
        <v>3.04075164354414</v>
      </c>
      <c r="I26" s="30" t="n">
        <v>-0.169345827524056</v>
      </c>
      <c r="J26" s="30" t="n">
        <v>-1.80318190036551</v>
      </c>
    </row>
    <row r="27" customFormat="false" ht="15" hidden="false" customHeight="false" outlineLevel="0" collapsed="false">
      <c r="A27" s="17" t="s">
        <v>160</v>
      </c>
      <c r="B27" s="29" t="n">
        <v>0.143921204813132</v>
      </c>
      <c r="C27" s="33" t="n">
        <v>1933.073</v>
      </c>
      <c r="D27" s="17" t="n">
        <v>90</v>
      </c>
      <c r="E27" s="17" t="s">
        <v>125</v>
      </c>
      <c r="F27" s="27" t="n">
        <v>0.493182560955064</v>
      </c>
      <c r="G27" s="18" t="n">
        <v>0.0029450919958785</v>
      </c>
      <c r="H27" s="27" t="n">
        <v>3.75378714208211</v>
      </c>
      <c r="I27" s="27" t="n">
        <v>-0.457572164695523</v>
      </c>
      <c r="J27" s="27" t="n">
        <v>2.17984867962647</v>
      </c>
    </row>
    <row r="28" customFormat="false" ht="15" hidden="false" customHeight="false" outlineLevel="0" collapsed="false">
      <c r="A28" s="19" t="s">
        <v>160</v>
      </c>
      <c r="B28" s="32" t="n">
        <v>0.143921204813132</v>
      </c>
      <c r="C28" s="35" t="n">
        <v>1933.073</v>
      </c>
      <c r="D28" s="19" t="n">
        <v>90</v>
      </c>
      <c r="E28" s="19" t="s">
        <v>127</v>
      </c>
      <c r="F28" s="30" t="n">
        <v>-0.506817439044936</v>
      </c>
      <c r="G28" s="20" t="n">
        <v>0.0029450919958785</v>
      </c>
      <c r="H28" s="30" t="n">
        <v>3.75378714208211</v>
      </c>
      <c r="I28" s="30" t="n">
        <v>-0.118799674171777</v>
      </c>
      <c r="J28" s="30" t="n">
        <v>-2.51084734301</v>
      </c>
    </row>
    <row r="29" customFormat="false" ht="15" hidden="false" customHeight="false" outlineLevel="0" collapsed="false">
      <c r="A29" s="17" t="s">
        <v>160</v>
      </c>
      <c r="B29" s="29" t="n">
        <v>0.143921204813132</v>
      </c>
      <c r="C29" s="33" t="n">
        <v>1989.929</v>
      </c>
      <c r="D29" s="17" t="n">
        <v>30</v>
      </c>
      <c r="E29" s="17" t="s">
        <v>125</v>
      </c>
      <c r="F29" s="27" t="n">
        <v>0.150948420388058</v>
      </c>
      <c r="G29" s="18" t="n">
        <v>0.0029942505130471</v>
      </c>
      <c r="H29" s="27" t="n">
        <v>1.27214804515199</v>
      </c>
      <c r="I29" s="27" t="n">
        <v>-0.35502234903855</v>
      </c>
      <c r="J29" s="27" t="n">
        <v>0.230187154339886</v>
      </c>
    </row>
    <row r="30" customFormat="false" ht="15" hidden="false" customHeight="false" outlineLevel="0" collapsed="false">
      <c r="A30" s="19" t="s">
        <v>160</v>
      </c>
      <c r="B30" s="32" t="n">
        <v>0.143921204813132</v>
      </c>
      <c r="C30" s="35" t="n">
        <v>1989.929</v>
      </c>
      <c r="D30" s="19" t="n">
        <v>30</v>
      </c>
      <c r="E30" s="19" t="s">
        <v>127</v>
      </c>
      <c r="F30" s="30" t="n">
        <v>-0.849051579611942</v>
      </c>
      <c r="G30" s="20" t="n">
        <v>0.0029942505130471</v>
      </c>
      <c r="H30" s="30" t="n">
        <v>1.27214804515199</v>
      </c>
      <c r="I30" s="30" t="n">
        <v>-0.0025395974999226</v>
      </c>
      <c r="J30" s="30" t="n">
        <v>-1.39665631429993</v>
      </c>
    </row>
    <row r="31" customFormat="false" ht="15" hidden="false" customHeight="false" outlineLevel="0" collapsed="false">
      <c r="A31" s="17" t="s">
        <v>160</v>
      </c>
      <c r="B31" s="29" t="n">
        <v>0.143921204813132</v>
      </c>
      <c r="C31" s="33" t="n">
        <v>1989.929</v>
      </c>
      <c r="D31" s="17" t="n">
        <v>60</v>
      </c>
      <c r="E31" s="17" t="s">
        <v>125</v>
      </c>
      <c r="F31" s="27" t="n">
        <v>0.266361514772432</v>
      </c>
      <c r="G31" s="18" t="n">
        <v>0.0029695823171251</v>
      </c>
      <c r="H31" s="27" t="n">
        <v>2.52333485337157</v>
      </c>
      <c r="I31" s="27" t="n">
        <v>-0.389428150565448</v>
      </c>
      <c r="J31" s="27" t="n">
        <v>0.801172218725648</v>
      </c>
    </row>
    <row r="32" customFormat="false" ht="15" hidden="false" customHeight="false" outlineLevel="0" collapsed="false">
      <c r="A32" s="19" t="s">
        <v>160</v>
      </c>
      <c r="B32" s="32" t="n">
        <v>0.143921204813132</v>
      </c>
      <c r="C32" s="35" t="n">
        <v>1989.929</v>
      </c>
      <c r="D32" s="19" t="n">
        <v>60</v>
      </c>
      <c r="E32" s="19" t="s">
        <v>127</v>
      </c>
      <c r="F32" s="30" t="n">
        <v>-0.733638485227568</v>
      </c>
      <c r="G32" s="20" t="n">
        <v>0.0029695823171251</v>
      </c>
      <c r="H32" s="30" t="n">
        <v>2.52333485337157</v>
      </c>
      <c r="I32" s="30" t="n">
        <v>-0.0388235047308233</v>
      </c>
      <c r="J32" s="30" t="n">
        <v>-2.43517835820935</v>
      </c>
    </row>
    <row r="33" customFormat="false" ht="15" hidden="false" customHeight="false" outlineLevel="0" collapsed="false">
      <c r="A33" s="17" t="s">
        <v>160</v>
      </c>
      <c r="B33" s="29" t="n">
        <v>0.143921204813132</v>
      </c>
      <c r="C33" s="33" t="n">
        <v>1989.929</v>
      </c>
      <c r="D33" s="17" t="n">
        <v>90</v>
      </c>
      <c r="E33" s="17" t="s">
        <v>125</v>
      </c>
      <c r="F33" s="27" t="n">
        <v>0.336253838333642</v>
      </c>
      <c r="G33" s="18" t="n">
        <v>0.0026937780395562</v>
      </c>
      <c r="H33" s="27" t="n">
        <v>3.43346468723568</v>
      </c>
      <c r="I33" s="27" t="n">
        <v>-0.382841423370201</v>
      </c>
      <c r="J33" s="27" t="n">
        <v>1.49973990458508</v>
      </c>
    </row>
    <row r="34" customFormat="false" ht="15" hidden="false" customHeight="false" outlineLevel="0" collapsed="false">
      <c r="A34" s="19" t="s">
        <v>160</v>
      </c>
      <c r="B34" s="32" t="n">
        <v>0.143921204813132</v>
      </c>
      <c r="C34" s="35" t="n">
        <v>1989.929</v>
      </c>
      <c r="D34" s="19" t="n">
        <v>90</v>
      </c>
      <c r="E34" s="19" t="s">
        <v>127</v>
      </c>
      <c r="F34" s="30" t="n">
        <v>-0.663746161666358</v>
      </c>
      <c r="G34" s="20" t="n">
        <v>0.0026937780395562</v>
      </c>
      <c r="H34" s="30" t="n">
        <v>3.43346468723568</v>
      </c>
      <c r="I34" s="30" t="n">
        <v>-0.034104876278898</v>
      </c>
      <c r="J34" s="30" t="n">
        <v>-3.32891997821758</v>
      </c>
    </row>
    <row r="35" customFormat="false" ht="15" hidden="false" customHeight="false" outlineLevel="0" collapsed="false">
      <c r="A35" s="17" t="s">
        <v>161</v>
      </c>
      <c r="B35" s="29" t="n">
        <v>0.168772464971913</v>
      </c>
      <c r="C35" s="33" t="n">
        <v>1800.411</v>
      </c>
      <c r="D35" s="17" t="n">
        <v>30</v>
      </c>
      <c r="E35" s="17" t="s">
        <v>125</v>
      </c>
      <c r="F35" s="27" t="n">
        <v>0.883899437414946</v>
      </c>
      <c r="G35" s="18" t="n">
        <v>0.0021311102880743</v>
      </c>
      <c r="H35" s="27" t="n">
        <v>1.06177441309491</v>
      </c>
      <c r="I35" s="27" t="n">
        <v>-0.577447528781539</v>
      </c>
      <c r="J35" s="27" t="n">
        <v>1.28669409482146</v>
      </c>
    </row>
    <row r="36" customFormat="false" ht="15" hidden="false" customHeight="false" outlineLevel="0" collapsed="false">
      <c r="A36" s="19" t="s">
        <v>161</v>
      </c>
      <c r="B36" s="32" t="n">
        <v>0.168772464971913</v>
      </c>
      <c r="C36" s="35" t="n">
        <v>1800.411</v>
      </c>
      <c r="D36" s="19" t="n">
        <v>30</v>
      </c>
      <c r="E36" s="19" t="s">
        <v>127</v>
      </c>
      <c r="F36" s="30" t="n">
        <v>-0.116100562585054</v>
      </c>
      <c r="G36" s="20" t="n">
        <v>0.0021311102880743</v>
      </c>
      <c r="H36" s="30" t="n">
        <v>1.06177441309491</v>
      </c>
      <c r="I36" s="30" t="n">
        <v>-0.258534731802143</v>
      </c>
      <c r="J36" s="30" t="n">
        <v>-0.185211122006523</v>
      </c>
    </row>
    <row r="37" customFormat="false" ht="15" hidden="false" customHeight="false" outlineLevel="0" collapsed="false">
      <c r="A37" s="17" t="s">
        <v>161</v>
      </c>
      <c r="B37" s="29" t="n">
        <v>0.168772464971913</v>
      </c>
      <c r="C37" s="33" t="n">
        <v>1800.411</v>
      </c>
      <c r="D37" s="17" t="n">
        <v>60</v>
      </c>
      <c r="E37" s="17" t="s">
        <v>125</v>
      </c>
      <c r="F37" s="27" t="n">
        <v>0.826382971750337</v>
      </c>
      <c r="G37" s="18" t="n">
        <v>0.0019777570097223</v>
      </c>
      <c r="H37" s="27" t="n">
        <v>1.97073966560388</v>
      </c>
      <c r="I37" s="27" t="n">
        <v>-0.533566490055411</v>
      </c>
      <c r="J37" s="27" t="n">
        <v>2.36671689911233</v>
      </c>
    </row>
    <row r="38" customFormat="false" ht="15" hidden="false" customHeight="false" outlineLevel="0" collapsed="false">
      <c r="A38" s="19" t="s">
        <v>161</v>
      </c>
      <c r="B38" s="32" t="n">
        <v>0.168772464971913</v>
      </c>
      <c r="C38" s="35" t="n">
        <v>1800.411</v>
      </c>
      <c r="D38" s="19" t="n">
        <v>60</v>
      </c>
      <c r="E38" s="19" t="s">
        <v>127</v>
      </c>
      <c r="F38" s="30" t="n">
        <v>-0.173617028249664</v>
      </c>
      <c r="G38" s="20" t="n">
        <v>0.0019777570097223</v>
      </c>
      <c r="H38" s="30" t="n">
        <v>1.97073966560388</v>
      </c>
      <c r="I38" s="30" t="n">
        <v>-0.216352930671251</v>
      </c>
      <c r="J38" s="30" t="n">
        <v>-0.561408264433763</v>
      </c>
    </row>
    <row r="39" customFormat="false" ht="15" hidden="false" customHeight="false" outlineLevel="0" collapsed="false">
      <c r="A39" s="17" t="s">
        <v>161</v>
      </c>
      <c r="B39" s="29" t="n">
        <v>0.168772464971913</v>
      </c>
      <c r="C39" s="33" t="n">
        <v>1800.411</v>
      </c>
      <c r="D39" s="17" t="n">
        <v>90</v>
      </c>
      <c r="E39" s="17" t="s">
        <v>125</v>
      </c>
      <c r="F39" s="27" t="n">
        <v>0.800999308039914</v>
      </c>
      <c r="G39" s="18" t="n">
        <v>0.0017573770936636</v>
      </c>
      <c r="H39" s="27" t="n">
        <v>2.6267125300641</v>
      </c>
      <c r="I39" s="27" t="n">
        <v>-0.49138181103422</v>
      </c>
      <c r="J39" s="27" t="n">
        <v>3.39361931838514</v>
      </c>
    </row>
    <row r="40" customFormat="false" ht="15" hidden="false" customHeight="false" outlineLevel="0" collapsed="false">
      <c r="A40" s="19" t="s">
        <v>161</v>
      </c>
      <c r="B40" s="32" t="n">
        <v>0.168772464971913</v>
      </c>
      <c r="C40" s="35" t="n">
        <v>1800.411</v>
      </c>
      <c r="D40" s="19" t="n">
        <v>90</v>
      </c>
      <c r="E40" s="19" t="s">
        <v>127</v>
      </c>
      <c r="F40" s="30" t="n">
        <v>-0.199000691960087</v>
      </c>
      <c r="G40" s="20" t="n">
        <v>0.0017573770936636</v>
      </c>
      <c r="H40" s="30" t="n">
        <v>2.6267125300641</v>
      </c>
      <c r="I40" s="30" t="n">
        <v>-0.175858435333278</v>
      </c>
      <c r="J40" s="30" t="n">
        <v>-0.975165883627902</v>
      </c>
    </row>
    <row r="41" customFormat="false" ht="15" hidden="false" customHeight="false" outlineLevel="0" collapsed="false">
      <c r="A41" s="17" t="s">
        <v>161</v>
      </c>
      <c r="B41" s="29" t="n">
        <v>0.168772464971913</v>
      </c>
      <c r="C41" s="33" t="n">
        <v>1857.267</v>
      </c>
      <c r="D41" s="17" t="n">
        <v>30</v>
      </c>
      <c r="E41" s="17" t="s">
        <v>125</v>
      </c>
      <c r="F41" s="27" t="n">
        <v>0.709573319690549</v>
      </c>
      <c r="G41" s="18" t="n">
        <v>0.0037354869847708</v>
      </c>
      <c r="H41" s="27" t="n">
        <v>1.86111649081413</v>
      </c>
      <c r="I41" s="27" t="n">
        <v>-0.751422995132229</v>
      </c>
      <c r="J41" s="27" t="n">
        <v>1.051912148652</v>
      </c>
    </row>
    <row r="42" customFormat="false" ht="15" hidden="false" customHeight="false" outlineLevel="0" collapsed="false">
      <c r="A42" s="19" t="s">
        <v>161</v>
      </c>
      <c r="B42" s="32" t="n">
        <v>0.168772464971913</v>
      </c>
      <c r="C42" s="35" t="n">
        <v>1857.267</v>
      </c>
      <c r="D42" s="19" t="n">
        <v>30</v>
      </c>
      <c r="E42" s="19" t="s">
        <v>127</v>
      </c>
      <c r="F42" s="30" t="n">
        <v>-0.290426680309451</v>
      </c>
      <c r="G42" s="20" t="n">
        <v>0.0037354869847708</v>
      </c>
      <c r="H42" s="30" t="n">
        <v>1.86111649081413</v>
      </c>
      <c r="I42" s="30" t="n">
        <v>-0.422439105505066</v>
      </c>
      <c r="J42" s="30" t="n">
        <v>-0.466475034242599</v>
      </c>
    </row>
    <row r="43" customFormat="false" ht="15" hidden="false" customHeight="false" outlineLevel="0" collapsed="false">
      <c r="A43" s="17" t="s">
        <v>161</v>
      </c>
      <c r="B43" s="29" t="n">
        <v>0.168772464971913</v>
      </c>
      <c r="C43" s="33" t="n">
        <v>1857.267</v>
      </c>
      <c r="D43" s="17" t="n">
        <v>60</v>
      </c>
      <c r="E43" s="17" t="s">
        <v>125</v>
      </c>
      <c r="F43" s="27" t="n">
        <v>0.686375552102121</v>
      </c>
      <c r="G43" s="18" t="n">
        <v>0.002734170690911</v>
      </c>
      <c r="H43" s="27" t="n">
        <v>2.72446949075229</v>
      </c>
      <c r="I43" s="27" t="n">
        <v>-0.599716406330073</v>
      </c>
      <c r="J43" s="27" t="n">
        <v>1.99880196846963</v>
      </c>
    </row>
    <row r="44" customFormat="false" ht="15" hidden="false" customHeight="false" outlineLevel="0" collapsed="false">
      <c r="A44" s="19" t="s">
        <v>161</v>
      </c>
      <c r="B44" s="32" t="n">
        <v>0.168772464971913</v>
      </c>
      <c r="C44" s="35" t="n">
        <v>1857.267</v>
      </c>
      <c r="D44" s="19" t="n">
        <v>60</v>
      </c>
      <c r="E44" s="19" t="s">
        <v>127</v>
      </c>
      <c r="F44" s="30" t="n">
        <v>-0.313624447897879</v>
      </c>
      <c r="G44" s="20" t="n">
        <v>0.002734170690911</v>
      </c>
      <c r="H44" s="30" t="n">
        <v>2.72446949075229</v>
      </c>
      <c r="I44" s="30" t="n">
        <v>-0.272485415297059</v>
      </c>
      <c r="J44" s="30" t="n">
        <v>-1.02179179491204</v>
      </c>
    </row>
    <row r="45" customFormat="false" ht="15" hidden="false" customHeight="false" outlineLevel="0" collapsed="false">
      <c r="A45" s="17" t="s">
        <v>161</v>
      </c>
      <c r="B45" s="29" t="n">
        <v>0.168772464971913</v>
      </c>
      <c r="C45" s="33" t="n">
        <v>1857.267</v>
      </c>
      <c r="D45" s="17" t="n">
        <v>90</v>
      </c>
      <c r="E45" s="17" t="s">
        <v>125</v>
      </c>
      <c r="F45" s="27" t="n">
        <v>0.682324367904561</v>
      </c>
      <c r="G45" s="18" t="n">
        <v>0.0022446817838489</v>
      </c>
      <c r="H45" s="27" t="n">
        <v>3.35507603285699</v>
      </c>
      <c r="I45" s="27" t="n">
        <v>-0.52675913558144</v>
      </c>
      <c r="J45" s="27" t="n">
        <v>2.93786147548563</v>
      </c>
    </row>
    <row r="46" customFormat="false" ht="15" hidden="false" customHeight="false" outlineLevel="0" collapsed="false">
      <c r="A46" s="19" t="s">
        <v>161</v>
      </c>
      <c r="B46" s="32" t="n">
        <v>0.168772464971913</v>
      </c>
      <c r="C46" s="35" t="n">
        <v>1857.267</v>
      </c>
      <c r="D46" s="19" t="n">
        <v>90</v>
      </c>
      <c r="E46" s="19" t="s">
        <v>127</v>
      </c>
      <c r="F46" s="30" t="n">
        <v>-0.317675632095439</v>
      </c>
      <c r="G46" s="20" t="n">
        <v>0.0022446817838489</v>
      </c>
      <c r="H46" s="30" t="n">
        <v>3.35507603285699</v>
      </c>
      <c r="I46" s="30" t="n">
        <v>-0.20127170331294</v>
      </c>
      <c r="J46" s="30" t="n">
        <v>-1.5688875866936</v>
      </c>
    </row>
    <row r="47" customFormat="false" ht="15" hidden="false" customHeight="false" outlineLevel="0" collapsed="false">
      <c r="A47" s="17" t="s">
        <v>161</v>
      </c>
      <c r="B47" s="29" t="n">
        <v>0.168772464971913</v>
      </c>
      <c r="C47" s="33" t="n">
        <v>1895.17</v>
      </c>
      <c r="D47" s="17" t="n">
        <v>30</v>
      </c>
      <c r="E47" s="17" t="s">
        <v>125</v>
      </c>
      <c r="F47" s="27" t="n">
        <v>0.553538792415877</v>
      </c>
      <c r="G47" s="18" t="n">
        <v>0.0043113332109397</v>
      </c>
      <c r="H47" s="27" t="n">
        <v>2.14801801451514</v>
      </c>
      <c r="I47" s="27" t="n">
        <v>-0.783592243061839</v>
      </c>
      <c r="J47" s="27" t="n">
        <v>0.827915774794684</v>
      </c>
    </row>
    <row r="48" customFormat="false" ht="15" hidden="false" customHeight="false" outlineLevel="0" collapsed="false">
      <c r="A48" s="19" t="s">
        <v>161</v>
      </c>
      <c r="B48" s="32" t="n">
        <v>0.168772464971913</v>
      </c>
      <c r="C48" s="35" t="n">
        <v>1895.17</v>
      </c>
      <c r="D48" s="19" t="n">
        <v>30</v>
      </c>
      <c r="E48" s="19" t="s">
        <v>127</v>
      </c>
      <c r="F48" s="30" t="n">
        <v>-0.446461207584123</v>
      </c>
      <c r="G48" s="20" t="n">
        <v>0.0043113332109397</v>
      </c>
      <c r="H48" s="30" t="n">
        <v>2.14801801451514</v>
      </c>
      <c r="I48" s="30" t="n">
        <v>-0.447894468802827</v>
      </c>
      <c r="J48" s="30" t="n">
        <v>-0.721458567939215</v>
      </c>
    </row>
    <row r="49" customFormat="false" ht="15" hidden="false" customHeight="false" outlineLevel="0" collapsed="false">
      <c r="A49" s="17" t="s">
        <v>161</v>
      </c>
      <c r="B49" s="29" t="n">
        <v>0.168772464971913</v>
      </c>
      <c r="C49" s="33" t="n">
        <v>1895.17</v>
      </c>
      <c r="D49" s="17" t="n">
        <v>60</v>
      </c>
      <c r="E49" s="17" t="s">
        <v>125</v>
      </c>
      <c r="F49" s="27" t="n">
        <v>0.575487807291718</v>
      </c>
      <c r="G49" s="18" t="n">
        <v>0.0030210789652525</v>
      </c>
      <c r="H49" s="27" t="n">
        <v>3.01035977649274</v>
      </c>
      <c r="I49" s="27" t="n">
        <v>-0.606545722588716</v>
      </c>
      <c r="J49" s="27" t="n">
        <v>1.6906848244268</v>
      </c>
    </row>
    <row r="50" customFormat="false" ht="15" hidden="false" customHeight="false" outlineLevel="0" collapsed="false">
      <c r="A50" s="19" t="s">
        <v>161</v>
      </c>
      <c r="B50" s="32" t="n">
        <v>0.168772464971913</v>
      </c>
      <c r="C50" s="35" t="n">
        <v>1895.17</v>
      </c>
      <c r="D50" s="19" t="n">
        <v>60</v>
      </c>
      <c r="E50" s="19" t="s">
        <v>127</v>
      </c>
      <c r="F50" s="30" t="n">
        <v>-0.424512192708282</v>
      </c>
      <c r="G50" s="20" t="n">
        <v>0.0030210789652525</v>
      </c>
      <c r="H50" s="30" t="n">
        <v>3.01035977649274</v>
      </c>
      <c r="I50" s="30" t="n">
        <v>-0.272636619979324</v>
      </c>
      <c r="J50" s="30" t="n">
        <v>-1.39155304581375</v>
      </c>
    </row>
    <row r="51" customFormat="false" ht="15" hidden="false" customHeight="false" outlineLevel="0" collapsed="false">
      <c r="A51" s="17" t="s">
        <v>161</v>
      </c>
      <c r="B51" s="29" t="n">
        <v>0.168772464971913</v>
      </c>
      <c r="C51" s="33" t="n">
        <v>1895.17</v>
      </c>
      <c r="D51" s="17" t="n">
        <v>90</v>
      </c>
      <c r="E51" s="17" t="s">
        <v>125</v>
      </c>
      <c r="F51" s="27" t="n">
        <v>0.592176208212525</v>
      </c>
      <c r="G51" s="18" t="n">
        <v>0.0024444543589379</v>
      </c>
      <c r="H51" s="27" t="n">
        <v>3.65367166611146</v>
      </c>
      <c r="I51" s="27" t="n">
        <v>-0.528356688044949</v>
      </c>
      <c r="J51" s="27" t="n">
        <v>2.57232973225569</v>
      </c>
    </row>
    <row r="52" customFormat="false" ht="15" hidden="false" customHeight="false" outlineLevel="0" collapsed="false">
      <c r="A52" s="19" t="s">
        <v>161</v>
      </c>
      <c r="B52" s="32" t="n">
        <v>0.168772464971913</v>
      </c>
      <c r="C52" s="35" t="n">
        <v>1895.17</v>
      </c>
      <c r="D52" s="19" t="n">
        <v>90</v>
      </c>
      <c r="E52" s="19" t="s">
        <v>127</v>
      </c>
      <c r="F52" s="30" t="n">
        <v>-0.407823791787475</v>
      </c>
      <c r="G52" s="20" t="n">
        <v>0.0024444543589379</v>
      </c>
      <c r="H52" s="30" t="n">
        <v>3.65367166611146</v>
      </c>
      <c r="I52" s="30" t="n">
        <v>-0.196226726648826</v>
      </c>
      <c r="J52" s="30" t="n">
        <v>-2.02639281015216</v>
      </c>
    </row>
    <row r="53" customFormat="false" ht="15" hidden="false" customHeight="false" outlineLevel="0" collapsed="false">
      <c r="A53" s="17" t="s">
        <v>161</v>
      </c>
      <c r="B53" s="29" t="n">
        <v>0.168772464971913</v>
      </c>
      <c r="C53" s="33" t="n">
        <v>1933.073</v>
      </c>
      <c r="D53" s="17" t="n">
        <v>30</v>
      </c>
      <c r="E53" s="17" t="s">
        <v>125</v>
      </c>
      <c r="F53" s="27" t="n">
        <v>0.391790360976969</v>
      </c>
      <c r="G53" s="18" t="n">
        <v>0.0041895312210883</v>
      </c>
      <c r="H53" s="27" t="n">
        <v>2.08733310439483</v>
      </c>
      <c r="I53" s="27" t="n">
        <v>-0.714973809133717</v>
      </c>
      <c r="J53" s="27" t="n">
        <v>0.589999478723387</v>
      </c>
    </row>
    <row r="54" customFormat="false" ht="15" hidden="false" customHeight="false" outlineLevel="0" collapsed="false">
      <c r="A54" s="19" t="s">
        <v>161</v>
      </c>
      <c r="B54" s="32" t="n">
        <v>0.168772464971913</v>
      </c>
      <c r="C54" s="35" t="n">
        <v>1933.073</v>
      </c>
      <c r="D54" s="19" t="n">
        <v>30</v>
      </c>
      <c r="E54" s="19" t="s">
        <v>127</v>
      </c>
      <c r="F54" s="30" t="n">
        <v>-0.608209639023031</v>
      </c>
      <c r="G54" s="20" t="n">
        <v>0.0041895312210883</v>
      </c>
      <c r="H54" s="30" t="n">
        <v>2.08733310439483</v>
      </c>
      <c r="I54" s="30" t="n">
        <v>-0.372562150242858</v>
      </c>
      <c r="J54" s="30" t="n">
        <v>-0.99036202384981</v>
      </c>
    </row>
    <row r="55" customFormat="false" ht="15" hidden="false" customHeight="false" outlineLevel="0" collapsed="false">
      <c r="A55" s="17" t="s">
        <v>161</v>
      </c>
      <c r="B55" s="29" t="n">
        <v>0.168772464971913</v>
      </c>
      <c r="C55" s="33" t="n">
        <v>1933.073</v>
      </c>
      <c r="D55" s="17" t="n">
        <v>60</v>
      </c>
      <c r="E55" s="17" t="s">
        <v>125</v>
      </c>
      <c r="F55" s="27" t="n">
        <v>0.46055752015656</v>
      </c>
      <c r="G55" s="18" t="n">
        <v>0.0030612696665998</v>
      </c>
      <c r="H55" s="27" t="n">
        <v>3.05040787590243</v>
      </c>
      <c r="I55" s="27" t="n">
        <v>-0.576667085600912</v>
      </c>
      <c r="J55" s="27" t="n">
        <v>1.36288958719464</v>
      </c>
    </row>
    <row r="56" customFormat="false" ht="15" hidden="false" customHeight="false" outlineLevel="0" collapsed="false">
      <c r="A56" s="19" t="s">
        <v>161</v>
      </c>
      <c r="B56" s="32" t="n">
        <v>0.168772464971913</v>
      </c>
      <c r="C56" s="35" t="n">
        <v>1933.073</v>
      </c>
      <c r="D56" s="19" t="n">
        <v>60</v>
      </c>
      <c r="E56" s="19" t="s">
        <v>127</v>
      </c>
      <c r="F56" s="30" t="n">
        <v>-0.53944247984344</v>
      </c>
      <c r="G56" s="20" t="n">
        <v>0.0030612696665998</v>
      </c>
      <c r="H56" s="30" t="n">
        <v>3.05040787590243</v>
      </c>
      <c r="I56" s="30" t="n">
        <v>-0.236079871415142</v>
      </c>
      <c r="J56" s="30" t="n">
        <v>-1.78099238990477</v>
      </c>
    </row>
    <row r="57" customFormat="false" ht="15" hidden="false" customHeight="false" outlineLevel="0" collapsed="false">
      <c r="A57" s="17" t="s">
        <v>161</v>
      </c>
      <c r="B57" s="29" t="n">
        <v>0.168772464971913</v>
      </c>
      <c r="C57" s="33" t="n">
        <v>1933.073</v>
      </c>
      <c r="D57" s="17" t="n">
        <v>90</v>
      </c>
      <c r="E57" s="17" t="s">
        <v>125</v>
      </c>
      <c r="F57" s="27" t="n">
        <v>0.498746715954472</v>
      </c>
      <c r="G57" s="18" t="n">
        <v>0.0025117900389626</v>
      </c>
      <c r="H57" s="27" t="n">
        <v>3.7543168122666</v>
      </c>
      <c r="I57" s="27" t="n">
        <v>-0.509664041805747</v>
      </c>
      <c r="J57" s="27" t="n">
        <v>2.18284594275859</v>
      </c>
    </row>
    <row r="58" customFormat="false" ht="15" hidden="false" customHeight="false" outlineLevel="0" collapsed="false">
      <c r="A58" s="19" t="s">
        <v>161</v>
      </c>
      <c r="B58" s="32" t="n">
        <v>0.168772464971913</v>
      </c>
      <c r="C58" s="35" t="n">
        <v>1933.073</v>
      </c>
      <c r="D58" s="19" t="n">
        <v>90</v>
      </c>
      <c r="E58" s="19" t="s">
        <v>127</v>
      </c>
      <c r="F58" s="30" t="n">
        <v>-0.501253284045528</v>
      </c>
      <c r="G58" s="20" t="n">
        <v>0.0025117900389626</v>
      </c>
      <c r="H58" s="30" t="n">
        <v>3.7543168122666</v>
      </c>
      <c r="I58" s="30" t="n">
        <v>-0.170891551282002</v>
      </c>
      <c r="J58" s="30" t="n">
        <v>-2.50785007987789</v>
      </c>
    </row>
    <row r="59" customFormat="false" ht="15" hidden="false" customHeight="false" outlineLevel="0" collapsed="false">
      <c r="A59" s="17" t="s">
        <v>161</v>
      </c>
      <c r="B59" s="29" t="n">
        <v>0.168772464971913</v>
      </c>
      <c r="C59" s="33" t="n">
        <v>1989.929</v>
      </c>
      <c r="D59" s="17" t="n">
        <v>30</v>
      </c>
      <c r="E59" s="17" t="s">
        <v>125</v>
      </c>
      <c r="F59" s="27" t="n">
        <v>0.191124484910845</v>
      </c>
      <c r="G59" s="18" t="n">
        <v>0.0029700490707064</v>
      </c>
      <c r="H59" s="27" t="n">
        <v>1.47975547138949</v>
      </c>
      <c r="I59" s="27" t="n">
        <v>-0.479058337218835</v>
      </c>
      <c r="J59" s="27" t="n">
        <v>0.28994633745555</v>
      </c>
    </row>
    <row r="60" customFormat="false" ht="15" hidden="false" customHeight="false" outlineLevel="0" collapsed="false">
      <c r="A60" s="19" t="s">
        <v>161</v>
      </c>
      <c r="B60" s="32" t="n">
        <v>0.168772464971913</v>
      </c>
      <c r="C60" s="35" t="n">
        <v>1989.929</v>
      </c>
      <c r="D60" s="19" t="n">
        <v>30</v>
      </c>
      <c r="E60" s="19" t="s">
        <v>127</v>
      </c>
      <c r="F60" s="30" t="n">
        <v>-0.808875515089155</v>
      </c>
      <c r="G60" s="20" t="n">
        <v>0.0029700490707064</v>
      </c>
      <c r="H60" s="30" t="n">
        <v>1.47975547138949</v>
      </c>
      <c r="I60" s="30" t="n">
        <v>-0.126575585680208</v>
      </c>
      <c r="J60" s="30" t="n">
        <v>-1.33689713118427</v>
      </c>
    </row>
    <row r="61" customFormat="false" ht="15" hidden="false" customHeight="false" outlineLevel="0" collapsed="false">
      <c r="A61" s="17" t="s">
        <v>161</v>
      </c>
      <c r="B61" s="29" t="n">
        <v>0.168772464971913</v>
      </c>
      <c r="C61" s="33" t="n">
        <v>1989.929</v>
      </c>
      <c r="D61" s="17" t="n">
        <v>60</v>
      </c>
      <c r="E61" s="17" t="s">
        <v>125</v>
      </c>
      <c r="F61" s="27" t="n">
        <v>0.300605465460675</v>
      </c>
      <c r="G61" s="18" t="n">
        <v>0.0026835658519887</v>
      </c>
      <c r="H61" s="27" t="n">
        <v>2.67404420450865</v>
      </c>
      <c r="I61" s="27" t="n">
        <v>-0.473285973842729</v>
      </c>
      <c r="J61" s="27" t="n">
        <v>0.897216436711482</v>
      </c>
    </row>
    <row r="62" customFormat="false" ht="15" hidden="false" customHeight="false" outlineLevel="0" collapsed="false">
      <c r="A62" s="19" t="s">
        <v>161</v>
      </c>
      <c r="B62" s="32" t="n">
        <v>0.168772464971913</v>
      </c>
      <c r="C62" s="35" t="n">
        <v>1989.929</v>
      </c>
      <c r="D62" s="19" t="n">
        <v>60</v>
      </c>
      <c r="E62" s="19" t="s">
        <v>127</v>
      </c>
      <c r="F62" s="30" t="n">
        <v>-0.699394534539325</v>
      </c>
      <c r="G62" s="20" t="n">
        <v>0.0026835658519887</v>
      </c>
      <c r="H62" s="30" t="n">
        <v>2.67404420450865</v>
      </c>
      <c r="I62" s="30" t="n">
        <v>-0.122681328008104</v>
      </c>
      <c r="J62" s="30" t="n">
        <v>-2.33913414022351</v>
      </c>
    </row>
    <row r="63" customFormat="false" ht="15" hidden="false" customHeight="false" outlineLevel="0" collapsed="false">
      <c r="A63" s="17" t="s">
        <v>161</v>
      </c>
      <c r="B63" s="29" t="n">
        <v>0.168772464971913</v>
      </c>
      <c r="C63" s="33" t="n">
        <v>1989.929</v>
      </c>
      <c r="D63" s="17" t="n">
        <v>90</v>
      </c>
      <c r="E63" s="17" t="s">
        <v>125</v>
      </c>
      <c r="F63" s="27" t="n">
        <v>0.363531699227254</v>
      </c>
      <c r="G63" s="18" t="n">
        <v>0.0023633687802047</v>
      </c>
      <c r="H63" s="27" t="n">
        <v>3.53247485158954</v>
      </c>
      <c r="I63" s="27" t="n">
        <v>-0.447191253711773</v>
      </c>
      <c r="J63" s="27" t="n">
        <v>1.60584437328564</v>
      </c>
    </row>
    <row r="64" customFormat="false" ht="15" hidden="false" customHeight="false" outlineLevel="0" collapsed="false">
      <c r="A64" s="19" t="s">
        <v>161</v>
      </c>
      <c r="B64" s="32" t="n">
        <v>0.168772464971913</v>
      </c>
      <c r="C64" s="35" t="n">
        <v>1989.929</v>
      </c>
      <c r="D64" s="19" t="n">
        <v>90</v>
      </c>
      <c r="E64" s="19" t="s">
        <v>127</v>
      </c>
      <c r="F64" s="30" t="n">
        <v>-0.636468300772746</v>
      </c>
      <c r="G64" s="20" t="n">
        <v>0.0023633687802047</v>
      </c>
      <c r="H64" s="30" t="n">
        <v>3.53247485158954</v>
      </c>
      <c r="I64" s="30" t="n">
        <v>-0.0984547066204699</v>
      </c>
      <c r="J64" s="30" t="n">
        <v>-3.22281550951702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7" min="5" style="0" width="12"/>
    <col collapsed="false" customWidth="true" hidden="false" outlineLevel="0" max="8" min="8" style="0" width="14"/>
    <col collapsed="false" customWidth="true" hidden="false" outlineLevel="0" max="10" min="9" style="0" width="12"/>
    <col collapsed="false" customWidth="true" hidden="false" outlineLevel="0" max="11" min="11" style="0" width="10"/>
  </cols>
  <sheetData>
    <row r="1" customFormat="false" ht="17.35" hidden="false" customHeight="false" outlineLevel="0" collapsed="false">
      <c r="A1" s="1" t="s">
        <v>162</v>
      </c>
    </row>
    <row r="2" customFormat="false" ht="15" hidden="false" customHeight="false" outlineLevel="0" collapsed="false">
      <c r="A2" s="2" t="s">
        <v>163</v>
      </c>
    </row>
    <row r="4" customFormat="false" ht="15" hidden="false" customHeight="false" outlineLevel="0" collapsed="false">
      <c r="A4" s="16" t="s">
        <v>120</v>
      </c>
      <c r="B4" s="16" t="s">
        <v>121</v>
      </c>
      <c r="C4" s="16" t="s">
        <v>138</v>
      </c>
      <c r="D4" s="16" t="s">
        <v>164</v>
      </c>
      <c r="E4" s="16" t="s">
        <v>52</v>
      </c>
      <c r="F4" s="16" t="s">
        <v>165</v>
      </c>
      <c r="G4" s="16" t="s">
        <v>166</v>
      </c>
      <c r="H4" s="16" t="s">
        <v>167</v>
      </c>
      <c r="I4" s="16" t="s">
        <v>168</v>
      </c>
      <c r="J4" s="16" t="s">
        <v>169</v>
      </c>
      <c r="K4" s="16" t="s">
        <v>170</v>
      </c>
    </row>
    <row r="5" customFormat="false" ht="15" hidden="false" customHeight="false" outlineLevel="0" collapsed="false">
      <c r="A5" s="17" t="s">
        <v>125</v>
      </c>
      <c r="B5" s="33" t="n">
        <v>1895.17</v>
      </c>
      <c r="C5" s="17" t="n">
        <v>30</v>
      </c>
      <c r="D5" s="17" t="n">
        <v>10</v>
      </c>
      <c r="E5" s="34" t="n">
        <v>36.4198878805189</v>
      </c>
      <c r="F5" s="34" t="n">
        <v>364.198878805189</v>
      </c>
      <c r="G5" s="27" t="n">
        <v>5.59661276408063</v>
      </c>
      <c r="H5" s="18" t="n">
        <v>0.0504463674107422</v>
      </c>
      <c r="I5" s="27" t="n">
        <v>21.4328251450433</v>
      </c>
      <c r="J5" s="27" t="n">
        <v>-6.9650406025493</v>
      </c>
      <c r="K5" s="27" t="n">
        <v>8.41835649312123</v>
      </c>
    </row>
    <row r="6" customFormat="false" ht="15" hidden="false" customHeight="false" outlineLevel="0" collapsed="false">
      <c r="A6" s="19" t="s">
        <v>127</v>
      </c>
      <c r="B6" s="35" t="n">
        <v>1895.17</v>
      </c>
      <c r="C6" s="19" t="n">
        <v>30</v>
      </c>
      <c r="D6" s="19" t="n">
        <v>-5</v>
      </c>
      <c r="E6" s="36" t="n">
        <v>26.3220048734283</v>
      </c>
      <c r="F6" s="36" t="n">
        <v>-131.610024367142</v>
      </c>
      <c r="G6" s="30" t="n">
        <v>2.20169361795969</v>
      </c>
      <c r="H6" s="20" t="n">
        <v>-0.0252231837053711</v>
      </c>
      <c r="I6" s="30" t="n">
        <v>-10.7164125725217</v>
      </c>
      <c r="J6" s="30" t="n">
        <v>1.80403142997959</v>
      </c>
      <c r="K6" s="30" t="n">
        <v>3.53769346710887</v>
      </c>
    </row>
    <row r="7" customFormat="false" ht="15" hidden="false" customHeight="false" outlineLevel="0" collapsed="false">
      <c r="A7" s="17" t="s">
        <v>125</v>
      </c>
      <c r="B7" s="33" t="n">
        <v>1933.073</v>
      </c>
      <c r="C7" s="17" t="n">
        <v>60</v>
      </c>
      <c r="D7" s="17" t="n">
        <v>5</v>
      </c>
      <c r="E7" s="34" t="n">
        <v>36.1739691218886</v>
      </c>
      <c r="F7" s="34" t="n">
        <v>180.869845609443</v>
      </c>
      <c r="G7" s="27" t="n">
        <v>2.24720345879705</v>
      </c>
      <c r="H7" s="18" t="n">
        <v>0.0178925169193713</v>
      </c>
      <c r="I7" s="27" t="n">
        <v>15.2037582177207</v>
      </c>
      <c r="J7" s="27" t="n">
        <v>-2.54966520854913</v>
      </c>
      <c r="K7" s="27" t="n">
        <v>6.70350038366952</v>
      </c>
    </row>
    <row r="8" customFormat="false" ht="15" hidden="false" customHeight="false" outlineLevel="0" collapsed="false">
      <c r="A8" s="19" t="s">
        <v>127</v>
      </c>
      <c r="B8" s="35" t="n">
        <v>1857.267</v>
      </c>
      <c r="C8" s="19" t="n">
        <v>60</v>
      </c>
      <c r="D8" s="19" t="n">
        <v>-3</v>
      </c>
      <c r="E8" s="36" t="n">
        <v>20.564831998817</v>
      </c>
      <c r="F8" s="36" t="n">
        <v>-61.694495996451</v>
      </c>
      <c r="G8" s="30" t="n">
        <v>0.864746993322172</v>
      </c>
      <c r="H8" s="20" t="n">
        <v>-0.0092596449155573</v>
      </c>
      <c r="I8" s="30" t="n">
        <v>-7.86817210303509</v>
      </c>
      <c r="J8" s="30" t="n">
        <v>0.640828641270417</v>
      </c>
      <c r="K8" s="30" t="n">
        <v>2.79540337862603</v>
      </c>
    </row>
    <row r="9" customFormat="false" ht="15" hidden="false" customHeight="false" outlineLevel="0" collapsed="false">
      <c r="A9" s="17" t="s">
        <v>125</v>
      </c>
      <c r="B9" s="33" t="n">
        <v>1989.929</v>
      </c>
      <c r="C9" s="17" t="n">
        <v>90</v>
      </c>
      <c r="D9" s="17" t="n">
        <v>2</v>
      </c>
      <c r="E9" s="34" t="n">
        <v>29.0303366019292</v>
      </c>
      <c r="F9" s="34" t="n">
        <v>58.0606732038584</v>
      </c>
      <c r="G9" s="27" t="n">
        <v>0.672507676667283</v>
      </c>
      <c r="H9" s="18" t="n">
        <v>0.0053875560791125</v>
      </c>
      <c r="I9" s="27" t="n">
        <v>6.86692937447136</v>
      </c>
      <c r="J9" s="27" t="n">
        <v>-0.765682846740402</v>
      </c>
      <c r="K9" s="27" t="n">
        <v>2.99947980917016</v>
      </c>
    </row>
    <row r="10" customFormat="false" ht="15" hidden="false" customHeight="false" outlineLevel="0" collapsed="false">
      <c r="A10" s="19" t="s">
        <v>127</v>
      </c>
      <c r="B10" s="35" t="n">
        <v>1800.411</v>
      </c>
      <c r="C10" s="19" t="n">
        <v>90</v>
      </c>
      <c r="D10" s="19" t="n">
        <v>-2</v>
      </c>
      <c r="E10" s="36" t="n">
        <v>12.1653265516799</v>
      </c>
      <c r="F10" s="36" t="n">
        <v>-24.3306531033597</v>
      </c>
      <c r="G10" s="30" t="n">
        <v>0.328206551923199</v>
      </c>
      <c r="H10" s="20" t="n">
        <v>-0.0036526490131232</v>
      </c>
      <c r="I10" s="30" t="n">
        <v>-4.65563280168796</v>
      </c>
      <c r="J10" s="30" t="n">
        <v>0.257145559853878</v>
      </c>
      <c r="K10" s="30" t="n">
        <v>1.59370980191914</v>
      </c>
    </row>
    <row r="12" customFormat="false" ht="15" hidden="false" customHeight="false" outlineLevel="0" collapsed="false">
      <c r="A12" s="3" t="s">
        <v>171</v>
      </c>
      <c r="F12" s="37" t="n">
        <f aca="false">SUM(F4:F10)</f>
        <v>385.494224151538</v>
      </c>
      <c r="G12" s="37" t="n">
        <f aca="false">SUM(G4:G10)</f>
        <v>11.91097106275</v>
      </c>
      <c r="H12" s="38" t="n">
        <f aca="false">SUM(H4:H10)</f>
        <v>0.0355909627751744</v>
      </c>
      <c r="I12" s="37" t="n">
        <f aca="false">SUM(I4:I10)</f>
        <v>20.2632952599907</v>
      </c>
      <c r="J12" s="37" t="n">
        <f aca="false">SUM(J4:J10)</f>
        <v>-7.57838302673494</v>
      </c>
      <c r="K12" s="37" t="n">
        <f aca="false">SUM(K4:K10)</f>
        <v>26.048143333615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8"/>
    <col collapsed="false" customWidth="true" hidden="false" outlineLevel="0" max="4" min="4" style="0" width="16"/>
  </cols>
  <sheetData>
    <row r="1" customFormat="false" ht="17.35" hidden="false" customHeight="false" outlineLevel="0" collapsed="false">
      <c r="A1" s="1" t="s">
        <v>172</v>
      </c>
    </row>
    <row r="2" customFormat="false" ht="15" hidden="false" customHeight="false" outlineLevel="0" collapsed="false">
      <c r="A2" s="2" t="s">
        <v>173</v>
      </c>
    </row>
    <row r="4" customFormat="false" ht="15" hidden="false" customHeight="false" outlineLevel="0" collapsed="false">
      <c r="A4" s="16" t="s">
        <v>174</v>
      </c>
      <c r="B4" s="16" t="s">
        <v>175</v>
      </c>
      <c r="C4" s="16" t="s">
        <v>176</v>
      </c>
      <c r="D4" s="16" t="s">
        <v>177</v>
      </c>
    </row>
    <row r="5" customFormat="false" ht="15" hidden="false" customHeight="false" outlineLevel="0" collapsed="false">
      <c r="A5" s="17" t="s">
        <v>178</v>
      </c>
      <c r="B5" s="39" t="n">
        <v>11.91097106275</v>
      </c>
      <c r="C5" s="39" t="n">
        <v>0</v>
      </c>
      <c r="D5" s="39" t="n">
        <f aca="false">C5-B5</f>
        <v>-11.91097106275</v>
      </c>
    </row>
    <row r="6" customFormat="false" ht="15" hidden="false" customHeight="false" outlineLevel="0" collapsed="false">
      <c r="A6" s="19" t="s">
        <v>179</v>
      </c>
      <c r="B6" s="40" t="n">
        <v>0.0355909627751743</v>
      </c>
      <c r="C6" s="40" t="n">
        <v>0</v>
      </c>
      <c r="D6" s="40" t="n">
        <f aca="false">C6-B6</f>
        <v>-0.0355909627751743</v>
      </c>
    </row>
    <row r="7" customFormat="false" ht="15" hidden="false" customHeight="false" outlineLevel="0" collapsed="false">
      <c r="A7" s="17" t="s">
        <v>180</v>
      </c>
      <c r="B7" s="39" t="n">
        <v>20.2632952599907</v>
      </c>
      <c r="C7" s="39" t="n">
        <v>-25.1006182023861</v>
      </c>
      <c r="D7" s="39" t="n">
        <f aca="false">C7-B7</f>
        <v>-45.3639134623767</v>
      </c>
    </row>
    <row r="8" customFormat="false" ht="15" hidden="false" customHeight="false" outlineLevel="0" collapsed="false">
      <c r="A8" s="19" t="s">
        <v>181</v>
      </c>
      <c r="B8" s="40" t="n">
        <v>-7.57838302673494</v>
      </c>
      <c r="C8" s="40" t="n">
        <v>-1.5653182588766</v>
      </c>
      <c r="D8" s="40" t="n">
        <f aca="false">C8-B8</f>
        <v>6.01306476785834</v>
      </c>
    </row>
    <row r="9" customFormat="false" ht="15" hidden="false" customHeight="false" outlineLevel="0" collapsed="false">
      <c r="A9" s="17" t="s">
        <v>182</v>
      </c>
      <c r="B9" s="39" t="n">
        <v>26.048143333615</v>
      </c>
      <c r="C9" s="39" t="n">
        <v>-6.98791437100895</v>
      </c>
      <c r="D9" s="39" t="n">
        <f aca="false">C9-B9</f>
        <v>-33.0360577046239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5" min="3" style="0" width="14"/>
    <col collapsed="false" customWidth="true" hidden="false" outlineLevel="0" max="6" min="6" style="0" width="20"/>
  </cols>
  <sheetData>
    <row r="1" customFormat="false" ht="17.35" hidden="false" customHeight="false" outlineLevel="0" collapsed="false">
      <c r="A1" s="1" t="s">
        <v>183</v>
      </c>
    </row>
    <row r="2" customFormat="false" ht="15" hidden="false" customHeight="false" outlineLevel="0" collapsed="false">
      <c r="A2" s="2" t="s">
        <v>184</v>
      </c>
    </row>
    <row r="4" customFormat="false" ht="23.85" hidden="false" customHeight="false" outlineLevel="0" collapsed="false">
      <c r="A4" s="16" t="s">
        <v>185</v>
      </c>
      <c r="B4" s="16" t="s">
        <v>186</v>
      </c>
      <c r="C4" s="16" t="s">
        <v>187</v>
      </c>
      <c r="D4" s="16" t="s">
        <v>188</v>
      </c>
      <c r="E4" s="16" t="s">
        <v>189</v>
      </c>
      <c r="F4" s="16" t="s">
        <v>190</v>
      </c>
    </row>
    <row r="5" customFormat="false" ht="15" hidden="false" customHeight="false" outlineLevel="0" collapsed="false">
      <c r="A5" s="41" t="n">
        <v>-2</v>
      </c>
      <c r="B5" s="21" t="n">
        <v>1857.2666</v>
      </c>
      <c r="C5" s="34" t="n">
        <v>-426.748732982041</v>
      </c>
      <c r="D5" s="34" t="n">
        <v>-1.48480401064026</v>
      </c>
      <c r="E5" s="34" t="n">
        <v>425.263928971401</v>
      </c>
      <c r="F5" s="42" t="n">
        <f aca="false">IF(C5=0,"n/a",(1-ABS(D5)/ABS(C5))*100)</f>
        <v>99.6520659826534</v>
      </c>
    </row>
    <row r="6" customFormat="false" ht="15" hidden="false" customHeight="false" outlineLevel="0" collapsed="false">
      <c r="A6" s="43" t="n">
        <v>-1</v>
      </c>
      <c r="B6" s="23" t="n">
        <v>1876.2183</v>
      </c>
      <c r="C6" s="36" t="n">
        <v>-219.419262481157</v>
      </c>
      <c r="D6" s="36" t="n">
        <v>-0.167119305197744</v>
      </c>
      <c r="E6" s="36" t="n">
        <v>219.25214317596</v>
      </c>
      <c r="F6" s="44" t="n">
        <f aca="false">IF(C6=0,"n/a",(1-ABS(D6)/ABS(C6))*100)</f>
        <v>99.9238356271423</v>
      </c>
    </row>
    <row r="7" customFormat="false" ht="15" hidden="false" customHeight="false" outlineLevel="0" collapsed="false">
      <c r="A7" s="41" t="n">
        <v>0</v>
      </c>
      <c r="B7" s="21" t="n">
        <v>1895.17</v>
      </c>
      <c r="C7" s="34" t="n">
        <v>0</v>
      </c>
      <c r="D7" s="34" t="n">
        <v>0</v>
      </c>
      <c r="E7" s="34" t="n">
        <v>0</v>
      </c>
      <c r="F7" s="42" t="str">
        <f aca="false">IF(C7=0,"n/a",(1-ABS(D7)/ABS(C7))*100)</f>
        <v>n/a</v>
      </c>
    </row>
    <row r="8" customFormat="false" ht="15" hidden="false" customHeight="false" outlineLevel="0" collapsed="false">
      <c r="A8" s="43" t="n">
        <v>1</v>
      </c>
      <c r="B8" s="23" t="n">
        <v>1914.1217</v>
      </c>
      <c r="C8" s="36" t="n">
        <v>232.146079150364</v>
      </c>
      <c r="D8" s="36" t="n">
        <v>0.128884838669435</v>
      </c>
      <c r="E8" s="36" t="n">
        <v>-232.017194311694</v>
      </c>
      <c r="F8" s="44" t="n">
        <f aca="false">IF(C8=0,"n/a",(1-ABS(D8)/ABS(C8))*100)</f>
        <v>99.9444811477578</v>
      </c>
    </row>
    <row r="9" customFormat="false" ht="15" hidden="false" customHeight="false" outlineLevel="0" collapsed="false">
      <c r="A9" s="41" t="n">
        <v>2</v>
      </c>
      <c r="B9" s="21" t="n">
        <v>1933.0734</v>
      </c>
      <c r="C9" s="34" t="n">
        <v>476.993884560922</v>
      </c>
      <c r="D9" s="34" t="n">
        <v>0.885068923896341</v>
      </c>
      <c r="E9" s="34" t="n">
        <v>-476.108815637026</v>
      </c>
      <c r="F9" s="42" t="n">
        <f aca="false">IF(C9=0,"n/a",(1-ABS(D9)/ABS(C9))*100)</f>
        <v>99.8144485804653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8"/>
  </cols>
  <sheetData>
    <row r="1" customFormat="false" ht="17.35" hidden="false" customHeight="false" outlineLevel="0" collapsed="false">
      <c r="A1" s="1" t="s">
        <v>191</v>
      </c>
    </row>
    <row r="2" customFormat="false" ht="15" hidden="false" customHeight="false" outlineLevel="0" collapsed="false">
      <c r="A2" s="2" t="s">
        <v>192</v>
      </c>
    </row>
    <row r="4" customFormat="false" ht="15" hidden="false" customHeight="false" outlineLevel="0" collapsed="false">
      <c r="A4" s="16" t="s">
        <v>193</v>
      </c>
      <c r="B4" s="16" t="s">
        <v>194</v>
      </c>
      <c r="C4" s="16" t="s">
        <v>195</v>
      </c>
    </row>
    <row r="5" customFormat="false" ht="15" hidden="false" customHeight="false" outlineLevel="0" collapsed="false">
      <c r="A5" s="17" t="s">
        <v>196</v>
      </c>
      <c r="B5" s="21" t="n">
        <v>336.655535985214</v>
      </c>
      <c r="C5" s="21" t="n">
        <v>256.354703861143</v>
      </c>
    </row>
    <row r="6" customFormat="false" ht="15" hidden="false" customHeight="false" outlineLevel="0" collapsed="false">
      <c r="A6" s="17" t="s">
        <v>197</v>
      </c>
      <c r="B6" s="21" t="n">
        <v>476.024788268454</v>
      </c>
      <c r="C6" s="21" t="n">
        <v>401.968393657257</v>
      </c>
    </row>
    <row r="8" customFormat="false" ht="45" hidden="false" customHeight="true" outlineLevel="0" collapsed="false">
      <c r="A8" s="45" t="s">
        <v>198</v>
      </c>
      <c r="B8" s="45"/>
      <c r="C8" s="45"/>
    </row>
  </sheetData>
  <mergeCells count="1">
    <mergeCell ref="A8:C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2026-09-04T17:27:57Z</dcterms:created>
  <dc:creator>openpyxl</dc:creator>
  <dc:description/>
  <dc:language>en-US</dc:language>
  <cp:lastModifiedBy/>
  <dcterms:modified xsi:type="dcterms:W3CDTF">2026-09-04T17:27:57Z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